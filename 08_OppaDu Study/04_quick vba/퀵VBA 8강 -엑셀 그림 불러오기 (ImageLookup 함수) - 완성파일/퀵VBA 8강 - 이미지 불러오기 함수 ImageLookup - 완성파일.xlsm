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ropbox\9. 내 드롭박스\@. #오빠두\@ 엑셀 - 영상강의\1d_엑셀 VBA 강의\1b_퀵 VBA 강의\퀵VBA 8강 ImageLookup 함수\"/>
    </mc:Choice>
  </mc:AlternateContent>
  <xr:revisionPtr revIDLastSave="0" documentId="13_ncr:1_{E4CD0C24-5E33-4BBD-AF38-5339B62B6AD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안내" sheetId="3" r:id="rId1"/>
    <sheet name="Sheet1" sheetId="1" r:id="rId2"/>
    <sheet name="Sheet2" sheetId="2" r:id="rId3"/>
  </sheets>
  <functionGroups builtInGroupCount="19"/>
  <definedNames>
    <definedName name="_xlnm.Print_Area" localSheetId="1">Sheet1!$E$2:$I$19</definedName>
    <definedName name="목록상자_1">OFFSET(Sheet2!$E$2,,,COUNTA(Sheet2!$E$2:$E$13))</definedName>
    <definedName name="목록상자_2">OFFSET(Sheet2!$A$2,MATCH(Sheet1!$C$6,Sheet2!$A:$A,0)-2,1,COUNTIF(Sheet2!$A:$A,Sheet1!$C$6),1)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" i="3" l="1"/>
  <c r="F6" i="3"/>
  <c r="C7" i="1" l="1"/>
  <c r="F12" i="1"/>
  <c r="F14" i="1"/>
  <c r="F13" i="1"/>
  <c r="F15" i="1"/>
  <c r="F16" i="1"/>
  <c r="J3" i="1" l="1"/>
  <c r="G16" i="1"/>
  <c r="I16" i="1" s="1"/>
  <c r="G15" i="1"/>
  <c r="I15" i="1" s="1"/>
  <c r="G14" i="1"/>
  <c r="I14" i="1" s="1"/>
  <c r="G13" i="1"/>
  <c r="I13" i="1" s="1"/>
  <c r="G12" i="1"/>
  <c r="I12" i="1" s="1"/>
  <c r="H17" i="1" l="1"/>
  <c r="H18" i="1" l="1"/>
  <c r="H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Oppadu</author>
  </authors>
  <commentList>
    <comment ref="F12" authorId="0" shapeId="0" xr:uid="{1895706B-27EB-401B-84F3-1F17462B1631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F13" authorId="0" shapeId="0" xr:uid="{92855600-FBA1-4D44-8DB7-D3601E5F79CE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F14" authorId="0" shapeId="0" xr:uid="{DFFB9C0C-EB8F-4B6C-8693-3045E48DBC58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<sst xmlns="http://schemas.openxmlformats.org/spreadsheetml/2006/main" count="74" uniqueCount="56">
  <si>
    <t>고구마깡</t>
    <phoneticPr fontId="1" type="noConversion"/>
  </si>
  <si>
    <t>새우깡</t>
    <phoneticPr fontId="1" type="noConversion"/>
  </si>
  <si>
    <t>오레오</t>
    <phoneticPr fontId="1" type="noConversion"/>
  </si>
  <si>
    <t>오사쯔</t>
    <phoneticPr fontId="1" type="noConversion"/>
  </si>
  <si>
    <t>버터와플</t>
    <phoneticPr fontId="1" type="noConversion"/>
  </si>
  <si>
    <t>제조사 선택</t>
    <phoneticPr fontId="1" type="noConversion"/>
  </si>
  <si>
    <t>롯데</t>
    <phoneticPr fontId="1" type="noConversion"/>
  </si>
  <si>
    <t>칙촉</t>
    <phoneticPr fontId="1" type="noConversion"/>
  </si>
  <si>
    <t>초코파이</t>
    <phoneticPr fontId="1" type="noConversion"/>
  </si>
  <si>
    <t>농심</t>
    <phoneticPr fontId="1" type="noConversion"/>
  </si>
  <si>
    <t>알새우칩</t>
    <phoneticPr fontId="1" type="noConversion"/>
  </si>
  <si>
    <t>자갈치</t>
    <phoneticPr fontId="1" type="noConversion"/>
  </si>
  <si>
    <t>제조사</t>
    <phoneticPr fontId="1" type="noConversion"/>
  </si>
  <si>
    <t>제품명</t>
    <phoneticPr fontId="1" type="noConversion"/>
  </si>
  <si>
    <t>도리토스</t>
    <phoneticPr fontId="1" type="noConversion"/>
  </si>
  <si>
    <t>치토스</t>
    <phoneticPr fontId="1" type="noConversion"/>
  </si>
  <si>
    <t>오리온</t>
    <phoneticPr fontId="1" type="noConversion"/>
  </si>
  <si>
    <t>썬칩</t>
    <phoneticPr fontId="1" type="noConversion"/>
  </si>
  <si>
    <t>오징어땅콩</t>
    <phoneticPr fontId="1" type="noConversion"/>
  </si>
  <si>
    <t>크라운</t>
    <phoneticPr fontId="1" type="noConversion"/>
  </si>
  <si>
    <t>뽀또</t>
    <phoneticPr fontId="1" type="noConversion"/>
  </si>
  <si>
    <t>해태</t>
    <phoneticPr fontId="1" type="noConversion"/>
  </si>
  <si>
    <t>홈런볼</t>
    <phoneticPr fontId="1" type="noConversion"/>
  </si>
  <si>
    <t>가격</t>
    <phoneticPr fontId="1" type="noConversion"/>
  </si>
  <si>
    <t>크라운</t>
  </si>
  <si>
    <t>롯데</t>
  </si>
  <si>
    <t>꼬깔콘</t>
    <phoneticPr fontId="1" type="noConversion"/>
  </si>
  <si>
    <t>단가</t>
    <phoneticPr fontId="1" type="noConversion"/>
  </si>
  <si>
    <t>수량</t>
    <phoneticPr fontId="1" type="noConversion"/>
  </si>
  <si>
    <t>행 레이블</t>
  </si>
  <si>
    <t>농심</t>
  </si>
  <si>
    <t>오리온</t>
  </si>
  <si>
    <t>해태</t>
  </si>
  <si>
    <t>(+82) 2 - 133 - 3329</t>
    <phoneticPr fontId="1" type="noConversion"/>
  </si>
  <si>
    <t>청구지</t>
    <phoneticPr fontId="1" type="noConversion"/>
  </si>
  <si>
    <t>마이크로소프트</t>
    <phoneticPr fontId="1" type="noConversion"/>
  </si>
  <si>
    <t>서울시 종로구 중학동 종로1길 50</t>
    <phoneticPr fontId="1" type="noConversion"/>
  </si>
  <si>
    <t>(+82) 2 - 123 - 4567</t>
    <phoneticPr fontId="1" type="noConversion"/>
  </si>
  <si>
    <t>발송</t>
    <phoneticPr fontId="1" type="noConversion"/>
  </si>
  <si>
    <t>오빠두엑셀 주식회사</t>
    <phoneticPr fontId="1" type="noConversion"/>
  </si>
  <si>
    <t>서울시 강남구 강남대로 100-123 한남빌딩</t>
    <phoneticPr fontId="1" type="noConversion"/>
  </si>
  <si>
    <t>그림 폴더</t>
    <phoneticPr fontId="1" type="noConversion"/>
  </si>
  <si>
    <t>정확히일치 여부</t>
    <phoneticPr fontId="1" type="noConversion"/>
  </si>
  <si>
    <t>소계</t>
    <phoneticPr fontId="1" type="noConversion"/>
  </si>
  <si>
    <t>부가세(10%)</t>
    <phoneticPr fontId="1" type="noConversion"/>
  </si>
  <si>
    <t>합계</t>
    <phoneticPr fontId="1" type="noConversion"/>
  </si>
  <si>
    <t>제품사진</t>
    <phoneticPr fontId="1" type="noConversion"/>
  </si>
  <si>
    <t>고구마깡</t>
  </si>
  <si>
    <t>해서 오빠두엑셀에 문의해주세요! 빠른 시일내 확인 후 연락드리겠습니다. (1~3일 소요)</t>
    <phoneticPr fontId="1" type="noConversion"/>
  </si>
  <si>
    <t>이 버튼을 클릭</t>
    <phoneticPr fontId="1" type="noConversion"/>
  </si>
  <si>
    <t xml:space="preserve">현장강의나 기업특강이 필요하세요? 오빠두엑셀이 직접 찾아가서 도와드립니다.   </t>
    <phoneticPr fontId="1" type="noConversion"/>
  </si>
  <si>
    <t>해서 오빠두엑셀에 문의해주세요!</t>
    <phoneticPr fontId="1" type="noConversion"/>
  </si>
  <si>
    <t>해당 파일에 문제가 있으신가요?</t>
    <phoneticPr fontId="1" type="noConversion"/>
  </si>
  <si>
    <t>파일 설명</t>
    <phoneticPr fontId="1" type="noConversion"/>
  </si>
  <si>
    <r>
      <rPr>
        <b/>
        <sz val="8"/>
        <color rgb="FFFF0000"/>
        <rFont val="맑은 고딕"/>
        <family val="3"/>
        <charset val="129"/>
        <scheme val="minor"/>
      </rPr>
      <t>▲</t>
    </r>
    <r>
      <rPr>
        <b/>
        <sz val="8"/>
        <rFont val="맑은 고딕"/>
        <family val="3"/>
        <charset val="129"/>
        <scheme val="minor"/>
      </rPr>
      <t xml:space="preserve"> 파일을 처음 실행하실 경우 상단의</t>
    </r>
    <r>
      <rPr>
        <b/>
        <sz val="8"/>
        <color rgb="FFFF0000"/>
        <rFont val="맑은 고딕"/>
        <family val="3"/>
        <charset val="129"/>
        <scheme val="minor"/>
      </rPr>
      <t xml:space="preserve"> [콘텐츠 사용] 버튼</t>
    </r>
    <r>
      <rPr>
        <b/>
        <sz val="8"/>
        <rFont val="맑은 고딕"/>
        <family val="3"/>
        <charset val="129"/>
        <scheme val="minor"/>
      </rPr>
      <t xml:space="preserve">을 눌러 매크로를 활성화하세요. </t>
    </r>
    <r>
      <rPr>
        <b/>
        <sz val="8"/>
        <color rgb="FFFF0000"/>
        <rFont val="맑은 고딕"/>
        <family val="3"/>
        <charset val="129"/>
        <scheme val="minor"/>
      </rPr>
      <t>▲</t>
    </r>
    <phoneticPr fontId="1" type="noConversion"/>
  </si>
  <si>
    <t>퀵VBA8강 - ImageLookup 함수 알아보기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</si>
</sst>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발&quot;&quot;행&quot;&quot;일&quot;\:\ yyyy&quot;년&quot;\ mm&quot;월&quot;\ dd&quot;일&quot;"/>
    <numFmt numFmtId="177" formatCode="#,##0&quot; 개&quot;"/>
    <numFmt numFmtId="178" formatCode="&quot;₩&quot;\ #,##0"/>
    <numFmt numFmtId="179" formatCode="&quot;₩&quot;\ #,##0;;\-_ "/>
  </numFmts>
  <fonts count="2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나눔스퀘어라운드 Regular"/>
      <family val="3"/>
      <charset val="129"/>
    </font>
    <font>
      <sz val="10"/>
      <color theme="1"/>
      <name val="나눔스퀘어라운드 Regular"/>
      <family val="3"/>
      <charset val="129"/>
    </font>
    <font>
      <sz val="10"/>
      <color theme="1"/>
      <name val="나눔스퀘어"/>
      <family val="3"/>
      <charset val="129"/>
    </font>
    <font>
      <sz val="8"/>
      <color theme="1"/>
      <name val="나눔스퀘어라운드 Regular"/>
      <family val="3"/>
      <charset val="129"/>
    </font>
    <font>
      <b/>
      <u/>
      <sz val="10"/>
      <color theme="1"/>
      <name val="나눔스퀘어"/>
      <family val="3"/>
      <charset val="129"/>
    </font>
    <font>
      <b/>
      <sz val="11"/>
      <color theme="0"/>
      <name val="나눔스퀘어 Bold"/>
      <family val="3"/>
      <charset val="129"/>
    </font>
    <font>
      <sz val="11"/>
      <color theme="1"/>
      <name val="나눔스퀘어 Bold"/>
      <family val="3"/>
      <charset val="129"/>
    </font>
    <font>
      <b/>
      <sz val="11"/>
      <color theme="1"/>
      <name val="나눔스퀘어 Bold"/>
      <family val="3"/>
      <charset val="129"/>
    </font>
    <font>
      <b/>
      <sz val="11"/>
      <color theme="0"/>
      <name val="나눔스퀘어 ExtraBold"/>
      <family val="3"/>
      <charset val="129"/>
    </font>
    <font>
      <sz val="10"/>
      <color theme="1"/>
      <name val="나눔스퀘어 Bold"/>
      <family val="3"/>
      <charset val="129"/>
    </font>
    <font>
      <sz val="11"/>
      <color theme="0"/>
      <name val="나눔스퀘어 Bold"/>
      <family val="3"/>
      <charset val="129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11"/>
      <color theme="10"/>
      <name val="맑은 고딕"/>
      <family val="3"/>
      <charset val="129"/>
      <scheme val="minor"/>
    </font>
    <font>
      <sz val="7"/>
      <color theme="1" tint="4.9989318521683403E-2"/>
      <name val="맑은 고딕"/>
      <family val="3"/>
      <charset val="129"/>
      <scheme val="minor"/>
    </font>
    <font>
      <b/>
      <u/>
      <sz val="7"/>
      <color theme="10"/>
      <name val="맑은 고딕"/>
      <family val="3"/>
      <charset val="129"/>
      <scheme val="minor"/>
    </font>
    <font>
      <b/>
      <u/>
      <sz val="7"/>
      <color rgb="FF0070C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sz val="6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theme="1" tint="0.14996795556505021"/>
      </bottom>
      <diagonal/>
    </border>
    <border>
      <left/>
      <right/>
      <top style="hair">
        <color theme="1" tint="0.14996795556505021"/>
      </top>
      <bottom style="hair">
        <color theme="1" tint="0.1499679555650502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 style="hair">
        <color theme="1" tint="0.14996795556505021"/>
      </top>
      <bottom style="hair">
        <color theme="1" tint="0.14993743705557422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right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76" fontId="5" fillId="0" borderId="0" xfId="0" applyNumberFormat="1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177" fontId="8" fillId="0" borderId="2" xfId="0" applyNumberFormat="1" applyFont="1" applyFill="1" applyBorder="1" applyAlignment="1">
      <alignment horizontal="right" vertical="center"/>
    </xf>
    <xf numFmtId="0" fontId="8" fillId="0" borderId="3" xfId="0" applyFont="1" applyFill="1" applyBorder="1" applyAlignment="1">
      <alignment horizontal="center" vertical="center"/>
    </xf>
    <xf numFmtId="177" fontId="8" fillId="0" borderId="3" xfId="0" applyNumberFormat="1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left" vertical="center" indent="1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 indent="2"/>
    </xf>
    <xf numFmtId="0" fontId="9" fillId="0" borderId="4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177" fontId="8" fillId="0" borderId="6" xfId="0" applyNumberFormat="1" applyFont="1" applyFill="1" applyBorder="1" applyAlignment="1">
      <alignment horizontal="right" vertical="center"/>
    </xf>
    <xf numFmtId="179" fontId="8" fillId="0" borderId="2" xfId="0" applyNumberFormat="1" applyFont="1" applyFill="1" applyBorder="1" applyAlignment="1">
      <alignment horizontal="right" vertical="center"/>
    </xf>
    <xf numFmtId="179" fontId="8" fillId="0" borderId="3" xfId="0" applyNumberFormat="1" applyFont="1" applyFill="1" applyBorder="1" applyAlignment="1">
      <alignment horizontal="right" vertical="center"/>
    </xf>
    <xf numFmtId="179" fontId="8" fillId="0" borderId="6" xfId="0" applyNumberFormat="1" applyFont="1" applyFill="1" applyBorder="1" applyAlignment="1">
      <alignment horizontal="right" vertical="center"/>
    </xf>
    <xf numFmtId="0" fontId="11" fillId="0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  <xf numFmtId="0" fontId="0" fillId="3" borderId="0" xfId="0" applyFill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15" fillId="6" borderId="10" xfId="1" applyFont="1" applyFill="1" applyBorder="1" applyAlignment="1" applyProtection="1">
      <alignment vertical="center"/>
    </xf>
    <xf numFmtId="0" fontId="15" fillId="6" borderId="0" xfId="1" applyFont="1" applyFill="1" applyBorder="1" applyAlignment="1" applyProtection="1">
      <alignment vertical="center"/>
    </xf>
    <xf numFmtId="0" fontId="16" fillId="6" borderId="0" xfId="1" applyFont="1" applyFill="1" applyBorder="1" applyAlignment="1" applyProtection="1">
      <alignment vertical="center"/>
    </xf>
    <xf numFmtId="0" fontId="17" fillId="6" borderId="0" xfId="1" applyFont="1" applyFill="1" applyBorder="1" applyAlignment="1" applyProtection="1">
      <alignment vertical="top"/>
    </xf>
    <xf numFmtId="0" fontId="16" fillId="6" borderId="11" xfId="1" applyFont="1" applyFill="1" applyBorder="1" applyAlignment="1" applyProtection="1">
      <alignment vertical="center"/>
    </xf>
    <xf numFmtId="0" fontId="14" fillId="3" borderId="0" xfId="1" applyFill="1" applyProtection="1">
      <alignment vertical="center"/>
    </xf>
    <xf numFmtId="0" fontId="18" fillId="6" borderId="0" xfId="1" applyFont="1" applyFill="1" applyBorder="1" applyAlignment="1" applyProtection="1">
      <alignment vertical="top"/>
    </xf>
    <xf numFmtId="0" fontId="15" fillId="6" borderId="11" xfId="1" applyFont="1" applyFill="1" applyBorder="1" applyAlignment="1" applyProtection="1">
      <alignment vertical="center"/>
    </xf>
    <xf numFmtId="0" fontId="17" fillId="6" borderId="0" xfId="1" applyFont="1" applyFill="1" applyBorder="1" applyAlignment="1" applyProtection="1">
      <alignment vertical="center"/>
    </xf>
    <xf numFmtId="0" fontId="19" fillId="6" borderId="0" xfId="1" applyFont="1" applyFill="1" applyBorder="1" applyAlignment="1" applyProtection="1">
      <alignment vertical="center"/>
    </xf>
    <xf numFmtId="0" fontId="21" fillId="0" borderId="11" xfId="0" applyFont="1" applyBorder="1">
      <alignment vertical="center"/>
    </xf>
    <xf numFmtId="0" fontId="0" fillId="6" borderId="0" xfId="0" applyFill="1" applyAlignment="1">
      <alignment horizontal="left" vertical="center"/>
    </xf>
    <xf numFmtId="0" fontId="24" fillId="3" borderId="0" xfId="0" applyFont="1" applyFill="1">
      <alignment vertical="center"/>
    </xf>
    <xf numFmtId="0" fontId="0" fillId="3" borderId="0" xfId="0" applyFill="1" applyAlignment="1">
      <alignment horizontal="left" vertical="center"/>
    </xf>
    <xf numFmtId="0" fontId="23" fillId="7" borderId="14" xfId="0" applyFont="1" applyFill="1" applyBorder="1" applyAlignment="1">
      <alignment horizontal="center" vertical="center"/>
    </xf>
    <xf numFmtId="0" fontId="23" fillId="7" borderId="13" xfId="0" applyFont="1" applyFill="1" applyBorder="1" applyAlignment="1">
      <alignment horizontal="center" vertical="center"/>
    </xf>
    <xf numFmtId="0" fontId="22" fillId="0" borderId="13" xfId="0" applyFont="1" applyBorder="1" applyAlignment="1" applyProtection="1">
      <alignment horizontal="center" vertical="center"/>
      <protection locked="0"/>
    </xf>
    <xf numFmtId="0" fontId="22" fillId="0" borderId="12" xfId="0" applyFont="1" applyBorder="1" applyAlignment="1" applyProtection="1">
      <alignment horizontal="center" vertical="center"/>
      <protection locked="0"/>
    </xf>
    <xf numFmtId="0" fontId="20" fillId="6" borderId="11" xfId="0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0" fillId="6" borderId="10" xfId="0" applyFont="1" applyFill="1" applyBorder="1" applyAlignment="1">
      <alignment horizontal="center" vertical="center"/>
    </xf>
    <xf numFmtId="178" fontId="10" fillId="4" borderId="0" xfId="0" applyNumberFormat="1" applyFont="1" applyFill="1" applyAlignment="1">
      <alignment horizontal="right" vertical="center"/>
    </xf>
    <xf numFmtId="178" fontId="8" fillId="0" borderId="5" xfId="0" applyNumberFormat="1" applyFont="1" applyFill="1" applyBorder="1" applyAlignment="1">
      <alignment horizontal="right" vertical="center"/>
    </xf>
    <xf numFmtId="0" fontId="8" fillId="0" borderId="5" xfId="0" applyFont="1" applyFill="1" applyBorder="1" applyAlignment="1">
      <alignment horizontal="right" vertical="center"/>
    </xf>
    <xf numFmtId="178" fontId="8" fillId="0" borderId="4" xfId="0" applyNumberFormat="1" applyFont="1" applyFill="1" applyBorder="1" applyAlignment="1">
      <alignment horizontal="right" vertical="center"/>
    </xf>
    <xf numFmtId="0" fontId="8" fillId="0" borderId="4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1"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hyperlink" Target="https://www.youtube.com/c/&#50724;&#48736;&#46160;Oppadu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www.oppadu.com/" TargetMode="External"/><Relationship Id="rId11" Type="http://schemas.openxmlformats.org/officeDocument/2006/relationships/image" Target="../media/image8.svg"/><Relationship Id="rId5" Type="http://schemas.openxmlformats.org/officeDocument/2006/relationships/image" Target="../media/image4.png"/><Relationship Id="rId15" Type="http://schemas.openxmlformats.org/officeDocument/2006/relationships/hyperlink" Target="#Sheet1!A1"/><Relationship Id="rId10" Type="http://schemas.openxmlformats.org/officeDocument/2006/relationships/image" Target="../media/image7.png"/><Relationship Id="rId4" Type="http://schemas.openxmlformats.org/officeDocument/2006/relationships/image" Target="../media/image3.svg"/><Relationship Id="rId9" Type="http://schemas.openxmlformats.org/officeDocument/2006/relationships/hyperlink" Target="mailto:info@oppadu.com" TargetMode="External"/><Relationship Id="rId14" Type="http://schemas.openxmlformats.org/officeDocument/2006/relationships/hyperlink" Target="mailto:info@oppadu.com?subject=&#52636;&#44053;&#47928;&#51032;&amp;body=&#44592;&#50629;&#47749;%20:%20%0d%0a&#52636;&#44053;&#50696;&#51221;&#51068;%20:%20%0d%0a&#51648;&#50669;%20:%20%0d%0a&#44053;&#51032;&#49884;&#44036;%20:%20%0d%0a&#44053;&#51032;&#45236;&#50857;%20:%20%0d%0a&#44592;&#53440;&#50836;&#52397;&#49324;&#54637;%20:%20%0d%0a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ppadu.com/&#50641;&#49472;-imagelookup-&#54632;&#49688;" TargetMode="External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hyperlink" Target="https://www.oppadu.com/&#50641;&#49472;-&#45796;&#51473;-&#45936;&#51060;&#53552;&#50976;&#54952;&#49457;-&#44160;&#49324;-&#54632;&#49688;/" TargetMode="External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52398" y="224331"/>
    <xdr:ext cx="3788159" cy="268298"/>
    <xdr:grpSp>
      <xdr:nvGrpSpPr>
        <xdr:cNvPr id="2" name="그룹 1">
          <a:extLst>
            <a:ext uri="{FF2B5EF4-FFF2-40B4-BE49-F238E27FC236}">
              <a16:creationId xmlns:a16="http://schemas.microsoft.com/office/drawing/2014/main" id="{C126D152-6D5F-4B3D-B7DF-0E613F2521B4}"/>
            </a:ext>
          </a:extLst>
        </xdr:cNvPr>
        <xdr:cNvGrpSpPr/>
      </xdr:nvGrpSpPr>
      <xdr:grpSpPr>
        <a:xfrm>
          <a:off x="152398" y="224331"/>
          <a:ext cx="3788159" cy="268298"/>
          <a:chOff x="162909" y="220718"/>
          <a:chExt cx="3831021" cy="268298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8D5FBDC8-8428-49DD-81A3-38C580ACD6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FAE80952-6469-43C5-B23D-F751467BC060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화살표: 아래쪽 4">
            <a:extLst>
              <a:ext uri="{FF2B5EF4-FFF2-40B4-BE49-F238E27FC236}">
                <a16:creationId xmlns:a16="http://schemas.microsoft.com/office/drawing/2014/main" id="{7B922FC6-2533-4EAD-99E6-96AFE2966889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  <xdr:absoluteAnchor>
    <xdr:pos x="236482" y="1827444"/>
    <xdr:ext cx="802892" cy="785462"/>
    <xdr:grpSp>
      <xdr:nvGrpSpPr>
        <xdr:cNvPr id="6" name="Group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E550D9-FE58-487D-9B30-DC99398E6BBE}"/>
            </a:ext>
          </a:extLst>
        </xdr:cNvPr>
        <xdr:cNvGrpSpPr/>
      </xdr:nvGrpSpPr>
      <xdr:grpSpPr>
        <a:xfrm>
          <a:off x="236482" y="1827444"/>
          <a:ext cx="802892" cy="785462"/>
          <a:chOff x="3986894" y="2193953"/>
          <a:chExt cx="1427788" cy="1427788"/>
        </a:xfrm>
      </xdr:grpSpPr>
      <xdr:pic>
        <xdr:nvPicPr>
          <xdr:cNvPr id="7" name="Graphic 26" descr="Monitor">
            <a:extLst>
              <a:ext uri="{FF2B5EF4-FFF2-40B4-BE49-F238E27FC236}">
                <a16:creationId xmlns:a16="http://schemas.microsoft.com/office/drawing/2014/main" id="{870A4AEA-C858-42B3-A51A-125804BAE2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8" name="Picture 28">
            <a:extLst>
              <a:ext uri="{FF2B5EF4-FFF2-40B4-BE49-F238E27FC236}">
                <a16:creationId xmlns:a16="http://schemas.microsoft.com/office/drawing/2014/main" id="{389D1492-CD7A-422A-826C-2620CD3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absoluteAnchor>
  <xdr:absoluteAnchor>
    <xdr:pos x="1007186" y="1868911"/>
    <xdr:ext cx="1289981" cy="26257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D26CAB1-E880-4B34-9E03-8374644BD533}"/>
            </a:ext>
          </a:extLst>
        </xdr:cNvPr>
        <xdr:cNvSpPr txBox="1"/>
      </xdr:nvSpPr>
      <xdr:spPr>
        <a:xfrm>
          <a:off x="1007186" y="1868911"/>
          <a:ext cx="1289981" cy="26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absoluteAnchor>
    <xdr:pos x="1020631" y="2072899"/>
    <xdr:ext cx="2038208" cy="69871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DF112239-C042-489A-9DB6-2E2D1918EA4C}"/>
            </a:ext>
          </a:extLst>
        </xdr:cNvPr>
        <xdr:cNvSpPr txBox="1"/>
      </xdr:nvSpPr>
      <xdr:spPr>
        <a:xfrm>
          <a:off x="1020631" y="2072899"/>
          <a:ext cx="2038208" cy="698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2398627" y="2405855"/>
    <xdr:ext cx="765315" cy="520783"/>
    <xdr:sp macro="" textlink="">
      <xdr:nvSpPr>
        <xdr:cNvPr id="11" name="TextBox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8BAD32-F558-423D-99A0-C163488FD51F}"/>
            </a:ext>
          </a:extLst>
        </xdr:cNvPr>
        <xdr:cNvSpPr txBox="1"/>
      </xdr:nvSpPr>
      <xdr:spPr>
        <a:xfrm>
          <a:off x="2398627" y="2405855"/>
          <a:ext cx="765315" cy="520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  <a:t> </a:t>
          </a:r>
          <a:b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</a:br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8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absoluteAnchor>
  <xdr:absoluteAnchor>
    <xdr:pos x="3032565" y="1909261"/>
    <xdr:ext cx="771359" cy="633866"/>
    <xdr:grpSp>
      <xdr:nvGrpSpPr>
        <xdr:cNvPr id="12" name="Group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3688C0-B178-42B0-9770-53BB78F48DFC}"/>
            </a:ext>
          </a:extLst>
        </xdr:cNvPr>
        <xdr:cNvGrpSpPr/>
      </xdr:nvGrpSpPr>
      <xdr:grpSpPr>
        <a:xfrm>
          <a:off x="3032565" y="1909261"/>
          <a:ext cx="771359" cy="633866"/>
          <a:chOff x="4554071" y="1864659"/>
          <a:chExt cx="1337984" cy="1147482"/>
        </a:xfrm>
      </xdr:grpSpPr>
      <xdr:sp macro="" textlink="">
        <xdr:nvSpPr>
          <xdr:cNvPr id="13" name="Arrow: Down 34">
            <a:extLst>
              <a:ext uri="{FF2B5EF4-FFF2-40B4-BE49-F238E27FC236}">
                <a16:creationId xmlns:a16="http://schemas.microsoft.com/office/drawing/2014/main" id="{40A4D5A8-97B3-4A31-931A-90E3C5F0130C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4" name="Graphic 36" descr="Document">
            <a:extLst>
              <a:ext uri="{FF2B5EF4-FFF2-40B4-BE49-F238E27FC236}">
                <a16:creationId xmlns:a16="http://schemas.microsoft.com/office/drawing/2014/main" id="{4859C61F-754D-4A44-A67B-7255474EE6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absoluteAnchor>
  <xdr:absoluteAnchor>
    <xdr:pos x="3719027" y="1880202"/>
    <xdr:ext cx="1809909" cy="28148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38EC733A-77C6-4A61-AC8B-FAAD09ABA25E}"/>
            </a:ext>
          </a:extLst>
        </xdr:cNvPr>
        <xdr:cNvSpPr txBox="1"/>
      </xdr:nvSpPr>
      <xdr:spPr>
        <a:xfrm>
          <a:off x="3719027" y="1880202"/>
          <a:ext cx="1809909" cy="2814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/ </a:t>
          </a:r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예제파일 다운로드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absoluteAnchor>
  <xdr:absoluteAnchor>
    <xdr:pos x="3723584" y="2071632"/>
    <xdr:ext cx="1436503" cy="715745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882B8CFD-93BB-4AB7-89B2-EA9779011585}"/>
            </a:ext>
          </a:extLst>
        </xdr:cNvPr>
        <xdr:cNvSpPr txBox="1"/>
      </xdr:nvSpPr>
      <xdr:spPr>
        <a:xfrm>
          <a:off x="3723584" y="2071632"/>
          <a:ext cx="1436503" cy="71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4941287" y="2388204"/>
    <xdr:ext cx="782089" cy="462234"/>
    <xdr:sp macro="" textlink="">
      <xdr:nvSpPr>
        <xdr:cNvPr id="17" name="TextBox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89B99BC-B05D-4468-AAED-C4F6977DF88D}"/>
            </a:ext>
          </a:extLst>
        </xdr:cNvPr>
        <xdr:cNvSpPr txBox="1"/>
      </xdr:nvSpPr>
      <xdr:spPr>
        <a:xfrm>
          <a:off x="4941287" y="2388204"/>
          <a:ext cx="782089" cy="462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8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absoluteAnchor>
  <xdr:absoluteAnchor>
    <xdr:pos x="331076" y="882526"/>
    <xdr:ext cx="997334" cy="789356"/>
    <xdr:grpSp>
      <xdr:nvGrpSpPr>
        <xdr:cNvPr id="18" name="Group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6989B1-1914-45B1-A5E0-38028B47C9D9}"/>
            </a:ext>
          </a:extLst>
        </xdr:cNvPr>
        <xdr:cNvGrpSpPr/>
      </xdr:nvGrpSpPr>
      <xdr:grpSpPr>
        <a:xfrm>
          <a:off x="331076" y="882526"/>
          <a:ext cx="997334" cy="789356"/>
          <a:chOff x="427907" y="3836894"/>
          <a:chExt cx="1678799" cy="1384503"/>
        </a:xfrm>
      </xdr:grpSpPr>
      <xdr:pic>
        <xdr:nvPicPr>
          <xdr:cNvPr id="19" name="Graphic 43" descr="Envelope">
            <a:extLst>
              <a:ext uri="{FF2B5EF4-FFF2-40B4-BE49-F238E27FC236}">
                <a16:creationId xmlns:a16="http://schemas.microsoft.com/office/drawing/2014/main" id="{A0A8373E-EA04-4592-B7B7-8D492FE42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0" name="Graphic 41" descr="Call center">
            <a:extLst>
              <a:ext uri="{FF2B5EF4-FFF2-40B4-BE49-F238E27FC236}">
                <a16:creationId xmlns:a16="http://schemas.microsoft.com/office/drawing/2014/main" id="{A6BA81C6-86B4-4016-AD84-3B1A8D25A7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absoluteAnchor>
  <xdr:absoluteAnchor>
    <xdr:pos x="1322957" y="954279"/>
    <xdr:ext cx="1384113" cy="253098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B640B6-3E62-496B-8A9F-435704F48815}"/>
            </a:ext>
          </a:extLst>
        </xdr:cNvPr>
        <xdr:cNvSpPr txBox="1"/>
      </xdr:nvSpPr>
      <xdr:spPr>
        <a:xfrm>
          <a:off x="1322957" y="954279"/>
          <a:ext cx="1384113" cy="25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오빠두엑셀에 문의하기</a:t>
          </a:r>
          <a:endParaRPr lang="en-US" altLang="ko-KR" sz="9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twoCellAnchor>
    <xdr:from>
      <xdr:col>4</xdr:col>
      <xdr:colOff>693683</xdr:colOff>
      <xdr:row>5</xdr:row>
      <xdr:rowOff>15766</xdr:rowOff>
    </xdr:from>
    <xdr:to>
      <xdr:col>5</xdr:col>
      <xdr:colOff>651641</xdr:colOff>
      <xdr:row>5</xdr:row>
      <xdr:rowOff>220717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B392D0A3-3C95-4F5D-928E-6CAC2BFB7323}"/>
            </a:ext>
          </a:extLst>
        </xdr:cNvPr>
        <xdr:cNvSpPr/>
      </xdr:nvSpPr>
      <xdr:spPr>
        <a:xfrm>
          <a:off x="2766323" y="1120666"/>
          <a:ext cx="674238" cy="204951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578070</xdr:colOff>
      <xdr:row>5</xdr:row>
      <xdr:rowOff>204951</xdr:rowOff>
    </xdr:from>
    <xdr:to>
      <xdr:col>9</xdr:col>
      <xdr:colOff>42041</xdr:colOff>
      <xdr:row>7</xdr:row>
      <xdr:rowOff>0</xdr:rowOff>
    </xdr:to>
    <xdr:sp macro="" textlink="">
      <xdr:nvSpPr>
        <xdr:cNvPr id="23" name="직사각형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FB58A10-F7A0-4385-B3C5-03CD0471E6AD}"/>
            </a:ext>
          </a:extLst>
        </xdr:cNvPr>
        <xdr:cNvSpPr/>
      </xdr:nvSpPr>
      <xdr:spPr>
        <a:xfrm>
          <a:off x="4708110" y="1309851"/>
          <a:ext cx="660311" cy="237009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8</xdr:col>
      <xdr:colOff>215463</xdr:colOff>
      <xdr:row>0</xdr:row>
      <xdr:rowOff>99848</xdr:rowOff>
    </xdr:from>
    <xdr:to>
      <xdr:col>10</xdr:col>
      <xdr:colOff>70481</xdr:colOff>
      <xdr:row>1</xdr:row>
      <xdr:rowOff>215462</xdr:rowOff>
    </xdr:to>
    <xdr:grpSp>
      <xdr:nvGrpSpPr>
        <xdr:cNvPr id="24" name="그룹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52A9CA8-A59D-4ECA-B26B-22DC17A56727}"/>
            </a:ext>
          </a:extLst>
        </xdr:cNvPr>
        <xdr:cNvGrpSpPr/>
      </xdr:nvGrpSpPr>
      <xdr:grpSpPr>
        <a:xfrm>
          <a:off x="4944626" y="99848"/>
          <a:ext cx="926580" cy="334689"/>
          <a:chOff x="4936146" y="99848"/>
          <a:chExt cx="929252" cy="334921"/>
        </a:xfrm>
      </xdr:grpSpPr>
      <xdr:sp macro="" textlink="">
        <xdr:nvSpPr>
          <xdr:cNvPr id="25" name="Arrow: Pentagon 4">
            <a:extLst>
              <a:ext uri="{FF2B5EF4-FFF2-40B4-BE49-F238E27FC236}">
                <a16:creationId xmlns:a16="http://schemas.microsoft.com/office/drawing/2014/main" id="{2E335D47-CB47-45DF-950D-1B6AA2421A7F}"/>
              </a:ext>
            </a:extLst>
          </xdr:cNvPr>
          <xdr:cNvSpPr/>
        </xdr:nvSpPr>
        <xdr:spPr>
          <a:xfrm>
            <a:off x="4936146" y="99848"/>
            <a:ext cx="929252" cy="334921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다음 페이지</a:t>
            </a:r>
          </a:p>
        </xdr:txBody>
      </xdr:sp>
      <xdr:sp macro="" textlink="">
        <xdr:nvSpPr>
          <xdr:cNvPr id="26" name="Arrow: Pentagon 5">
            <a:extLst>
              <a:ext uri="{FF2B5EF4-FFF2-40B4-BE49-F238E27FC236}">
                <a16:creationId xmlns:a16="http://schemas.microsoft.com/office/drawing/2014/main" id="{DB8F5754-FABE-4434-AA54-C57BC4C431EF}"/>
              </a:ext>
            </a:extLst>
          </xdr:cNvPr>
          <xdr:cNvSpPr/>
        </xdr:nvSpPr>
        <xdr:spPr>
          <a:xfrm>
            <a:off x="4966196" y="123856"/>
            <a:ext cx="848839" cy="286906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페이지 이동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46154</xdr:colOff>
      <xdr:row>0</xdr:row>
      <xdr:rowOff>178905</xdr:rowOff>
    </xdr:from>
    <xdr:to>
      <xdr:col>9</xdr:col>
      <xdr:colOff>35644</xdr:colOff>
      <xdr:row>2</xdr:row>
      <xdr:rowOff>33130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1CEF0EF-F985-4EAD-80A4-785BA5A49BAA}"/>
            </a:ext>
          </a:extLst>
        </xdr:cNvPr>
        <xdr:cNvSpPr txBox="1"/>
      </xdr:nvSpPr>
      <xdr:spPr>
        <a:xfrm>
          <a:off x="8805841" y="178905"/>
          <a:ext cx="2023699" cy="430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ko-KR" altLang="en-US" sz="2000" b="1">
              <a:solidFill>
                <a:schemeClr val="bg1"/>
              </a:solidFill>
              <a:latin typeface="나눔스퀘어 ExtraBold" panose="020B0600000101010101" pitchFamily="50" charset="-127"/>
              <a:ea typeface="나눔스퀘어 ExtraBold" panose="020B0600000101010101" pitchFamily="50" charset="-127"/>
            </a:rPr>
            <a:t>송장</a:t>
          </a:r>
          <a:r>
            <a:rPr lang="en-US" altLang="ko-KR" sz="2000" b="1" baseline="0">
              <a:solidFill>
                <a:schemeClr val="bg1"/>
              </a:solidFill>
              <a:latin typeface="나눔스퀘어 ExtraBold" panose="020B0600000101010101" pitchFamily="50" charset="-127"/>
              <a:ea typeface="나눔스퀘어 ExtraBold" panose="020B0600000101010101" pitchFamily="50" charset="-127"/>
            </a:rPr>
            <a:t> (INVOICE)</a:t>
          </a:r>
          <a:endParaRPr lang="ko-KR" altLang="en-US" sz="2000" b="1">
            <a:solidFill>
              <a:schemeClr val="bg1"/>
            </a:solidFill>
            <a:latin typeface="나눔스퀘어 ExtraBold" panose="020B0600000101010101" pitchFamily="50" charset="-127"/>
            <a:ea typeface="나눔스퀘어 ExtraBold" panose="020B0600000101010101" pitchFamily="50" charset="-127"/>
          </a:endParaRPr>
        </a:p>
      </xdr:txBody>
    </xdr:sp>
    <xdr:clientData/>
  </xdr:twoCellAnchor>
  <xdr:twoCellAnchor editAs="oneCell">
    <xdr:from>
      <xdr:col>4</xdr:col>
      <xdr:colOff>110587</xdr:colOff>
      <xdr:row>1</xdr:row>
      <xdr:rowOff>62313</xdr:rowOff>
    </xdr:from>
    <xdr:to>
      <xdr:col>4</xdr:col>
      <xdr:colOff>820034</xdr:colOff>
      <xdr:row>1</xdr:row>
      <xdr:rowOff>259050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4D5691B-AFCF-4175-9EC1-FA61C262F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4744" y="247843"/>
          <a:ext cx="709447" cy="196737"/>
        </a:xfrm>
        <a:prstGeom prst="rect">
          <a:avLst/>
        </a:prstGeom>
      </xdr:spPr>
    </xdr:pic>
    <xdr:clientData/>
  </xdr:twoCellAnchor>
  <xdr:twoCellAnchor>
    <xdr:from>
      <xdr:col>4</xdr:col>
      <xdr:colOff>13252</xdr:colOff>
      <xdr:row>2</xdr:row>
      <xdr:rowOff>159024</xdr:rowOff>
    </xdr:from>
    <xdr:to>
      <xdr:col>6</xdr:col>
      <xdr:colOff>748747</xdr:colOff>
      <xdr:row>4</xdr:row>
      <xdr:rowOff>39756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2CD00A4-E8D5-495F-8970-A4B0799BF832}"/>
            </a:ext>
          </a:extLst>
        </xdr:cNvPr>
        <xdr:cNvSpPr txBox="1"/>
      </xdr:nvSpPr>
      <xdr:spPr>
        <a:xfrm>
          <a:off x="4777409" y="735494"/>
          <a:ext cx="3783495" cy="662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서울시 강남구 강남대로 </a:t>
          </a:r>
          <a:r>
            <a:rPr lang="en-US" altLang="ko-KR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100-123</a:t>
          </a:r>
        </a:p>
        <a:p>
          <a:r>
            <a:rPr lang="ko-KR" altLang="en-US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한남빌딩 </a:t>
          </a:r>
          <a:r>
            <a:rPr lang="en-US" altLang="ko-KR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123</a:t>
          </a:r>
          <a:r>
            <a:rPr lang="ko-KR" altLang="en-US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층 </a:t>
          </a:r>
          <a:r>
            <a:rPr lang="en-US" altLang="ko-KR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1345</a:t>
          </a:r>
          <a:r>
            <a:rPr lang="ko-KR" altLang="en-US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호</a:t>
          </a:r>
          <a:br>
            <a:rPr lang="en-US" altLang="ko-KR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</a:br>
          <a:r>
            <a:rPr lang="en-US" altLang="ko-KR" sz="9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(+82) 2 - 133 - 3329</a:t>
          </a:r>
          <a:endParaRPr lang="ko-KR" altLang="en-US" sz="900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4</xdr:col>
      <xdr:colOff>19878</xdr:colOff>
      <xdr:row>1</xdr:row>
      <xdr:rowOff>291548</xdr:rowOff>
    </xdr:from>
    <xdr:to>
      <xdr:col>6</xdr:col>
      <xdr:colOff>755373</xdr:colOff>
      <xdr:row>2</xdr:row>
      <xdr:rowOff>218660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BAA0E16-27BE-440D-8A33-9547296FBAB3}"/>
            </a:ext>
          </a:extLst>
        </xdr:cNvPr>
        <xdr:cNvSpPr txBox="1"/>
      </xdr:nvSpPr>
      <xdr:spPr>
        <a:xfrm>
          <a:off x="4784035" y="477078"/>
          <a:ext cx="3783495" cy="318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2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(</a:t>
          </a:r>
          <a:r>
            <a:rPr lang="ko-KR" altLang="en-US" sz="12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주</a:t>
          </a:r>
          <a:r>
            <a:rPr lang="en-US" altLang="ko-KR" sz="12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) </a:t>
          </a:r>
          <a:r>
            <a:rPr lang="ko-KR" altLang="en-US" sz="12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오빠두엑셀</a:t>
          </a:r>
        </a:p>
      </xdr:txBody>
    </xdr:sp>
    <xdr:clientData/>
  </xdr:twoCellAnchor>
  <xdr:twoCellAnchor>
    <xdr:from>
      <xdr:col>6</xdr:col>
      <xdr:colOff>775250</xdr:colOff>
      <xdr:row>1</xdr:row>
      <xdr:rowOff>377687</xdr:rowOff>
    </xdr:from>
    <xdr:to>
      <xdr:col>9</xdr:col>
      <xdr:colOff>6623</xdr:colOff>
      <xdr:row>2</xdr:row>
      <xdr:rowOff>304799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58A911FD-DBA0-4598-975A-C9953CE25962}"/>
            </a:ext>
          </a:extLst>
        </xdr:cNvPr>
        <xdr:cNvSpPr txBox="1"/>
      </xdr:nvSpPr>
      <xdr:spPr>
        <a:xfrm>
          <a:off x="8587407" y="563217"/>
          <a:ext cx="2213112" cy="318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ko-KR" altLang="en-US" sz="105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송장번호 </a:t>
          </a:r>
          <a:r>
            <a:rPr lang="en-US" altLang="ko-KR" sz="105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: #INV10039</a:t>
          </a:r>
          <a:endParaRPr lang="ko-KR" altLang="en-US" sz="1050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>
    <xdr:from>
      <xdr:col>6</xdr:col>
      <xdr:colOff>821634</xdr:colOff>
      <xdr:row>3</xdr:row>
      <xdr:rowOff>165651</xdr:rowOff>
    </xdr:from>
    <xdr:to>
      <xdr:col>9</xdr:col>
      <xdr:colOff>53007</xdr:colOff>
      <xdr:row>4</xdr:row>
      <xdr:rowOff>19877</xdr:rowOff>
    </xdr:to>
    <xdr:sp macro="" textlink="$J$3">
      <xdr:nvSpPr>
        <xdr:cNvPr id="11" name="TextBox 10">
          <a:extLst>
            <a:ext uri="{FF2B5EF4-FFF2-40B4-BE49-F238E27FC236}">
              <a16:creationId xmlns:a16="http://schemas.microsoft.com/office/drawing/2014/main" id="{F6CBF9B6-5E29-46DF-9457-DEF28FBD9FAF}"/>
            </a:ext>
          </a:extLst>
        </xdr:cNvPr>
        <xdr:cNvSpPr txBox="1"/>
      </xdr:nvSpPr>
      <xdr:spPr>
        <a:xfrm>
          <a:off x="8633791" y="1133060"/>
          <a:ext cx="2213112" cy="2451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53139D00-C606-492A-8F08-FA6E38EADC3E}" type="TxLink">
            <a:rPr lang="ko-KR" altLang="en-US" sz="800" b="0" i="0" u="none" strike="noStrike">
              <a:solidFill>
                <a:schemeClr val="bg1"/>
              </a:solidFill>
              <a:latin typeface="나눔스퀘어라운드 Regular"/>
              <a:ea typeface="나눔스퀘어라운드 Regular"/>
            </a:rPr>
            <a:pPr algn="r"/>
            <a:t>발행일: 2019년 12월 22일</a:t>
          </a:fld>
          <a:endParaRPr lang="ko-KR" altLang="en-US" sz="1050" b="0">
            <a:solidFill>
              <a:schemeClr val="bg1"/>
            </a:solidFill>
            <a:latin typeface="나눔스퀘어 Bold" panose="020B0600000101010101" pitchFamily="50" charset="-127"/>
            <a:ea typeface="나눔스퀘어 Bold" panose="020B0600000101010101" pitchFamily="50" charset="-127"/>
          </a:endParaRPr>
        </a:p>
      </xdr:txBody>
    </xdr:sp>
    <xdr:clientData/>
  </xdr:twoCellAnchor>
  <xdr:twoCellAnchor editAs="oneCell">
    <xdr:from>
      <xdr:col>1</xdr:col>
      <xdr:colOff>15241</xdr:colOff>
      <xdr:row>8</xdr:row>
      <xdr:rowOff>190501</xdr:rowOff>
    </xdr:from>
    <xdr:to>
      <xdr:col>2</xdr:col>
      <xdr:colOff>1615441</xdr:colOff>
      <xdr:row>12</xdr:row>
      <xdr:rowOff>576861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BE011AA-401A-4582-97F8-FAF195692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4341" y="2240281"/>
          <a:ext cx="3253740" cy="20018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7620</xdr:colOff>
      <xdr:row>0</xdr:row>
      <xdr:rowOff>167640</xdr:rowOff>
    </xdr:from>
    <xdr:to>
      <xdr:col>3</xdr:col>
      <xdr:colOff>617220</xdr:colOff>
      <xdr:row>3</xdr:row>
      <xdr:rowOff>312420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5829D2C-BAB4-4CE7-BA02-5F7C82E4F357}"/>
            </a:ext>
          </a:extLst>
        </xdr:cNvPr>
        <xdr:cNvSpPr txBox="1"/>
      </xdr:nvSpPr>
      <xdr:spPr>
        <a:xfrm>
          <a:off x="426720" y="167640"/>
          <a:ext cx="4023360" cy="1104900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>
              <a:latin typeface="+mj-ea"/>
              <a:ea typeface="+mj-ea"/>
            </a:rPr>
            <a:t>완성파일을 다운받은 뒤 </a:t>
          </a:r>
          <a:r>
            <a:rPr lang="en-US" altLang="ko-KR" sz="1100">
              <a:latin typeface="+mj-ea"/>
              <a:ea typeface="+mj-ea"/>
            </a:rPr>
            <a:t>[</a:t>
          </a:r>
          <a:r>
            <a:rPr lang="ko-KR" altLang="en-US" sz="1100">
              <a:latin typeface="+mj-ea"/>
              <a:ea typeface="+mj-ea"/>
            </a:rPr>
            <a:t>과자모음</a:t>
          </a:r>
          <a:r>
            <a:rPr lang="en-US" altLang="ko-KR" sz="1100">
              <a:latin typeface="+mj-ea"/>
              <a:ea typeface="+mj-ea"/>
            </a:rPr>
            <a:t>] </a:t>
          </a:r>
          <a:r>
            <a:rPr lang="ko-KR" altLang="en-US" sz="1100">
              <a:latin typeface="+mj-ea"/>
              <a:ea typeface="+mj-ea"/>
            </a:rPr>
            <a:t>폴더를 현재 통합문서와 같은 폴더로 이동합니다</a:t>
          </a:r>
          <a:r>
            <a:rPr lang="en-US" altLang="ko-KR" sz="1100">
              <a:latin typeface="+mj-ea"/>
              <a:ea typeface="+mj-ea"/>
            </a:rPr>
            <a:t>.</a:t>
          </a:r>
        </a:p>
        <a:p>
          <a:r>
            <a:rPr lang="ko-KR" altLang="en-US" sz="1100">
              <a:latin typeface="+mj-ea"/>
              <a:ea typeface="+mj-ea"/>
            </a:rPr>
            <a:t>또는 </a:t>
          </a:r>
          <a:r>
            <a:rPr lang="en-US" altLang="ko-KR" sz="1100">
              <a:latin typeface="+mj-ea"/>
              <a:ea typeface="+mj-ea"/>
            </a:rPr>
            <a:t>'C7'</a:t>
          </a:r>
          <a:r>
            <a:rPr lang="ko-KR" altLang="en-US" sz="1100">
              <a:latin typeface="+mj-ea"/>
              <a:ea typeface="+mj-ea"/>
            </a:rPr>
            <a:t>셀 인 그림폴더의 경로를 임의 폴더로 변경한 뒤 </a:t>
          </a:r>
          <a:r>
            <a:rPr lang="en-US" altLang="ko-KR" sz="1100">
              <a:latin typeface="+mj-ea"/>
              <a:ea typeface="+mj-ea"/>
            </a:rPr>
            <a:t>ImageLoookup</a:t>
          </a:r>
          <a:r>
            <a:rPr lang="en-US" altLang="ko-KR" sz="1100" baseline="0">
              <a:latin typeface="+mj-ea"/>
              <a:ea typeface="+mj-ea"/>
            </a:rPr>
            <a:t> </a:t>
          </a:r>
          <a:r>
            <a:rPr lang="ko-KR" altLang="en-US" sz="1100" baseline="0">
              <a:latin typeface="+mj-ea"/>
              <a:ea typeface="+mj-ea"/>
            </a:rPr>
            <a:t>함수를 입력합니다</a:t>
          </a:r>
          <a:r>
            <a:rPr lang="en-US" altLang="ko-KR" sz="1100" baseline="0">
              <a:latin typeface="+mj-ea"/>
              <a:ea typeface="+mj-ea"/>
            </a:rPr>
            <a:t>.</a:t>
          </a:r>
          <a:endParaRPr lang="ko-KR" altLang="en-US" sz="1100">
            <a:latin typeface="+mj-ea"/>
            <a:ea typeface="+mj-ea"/>
          </a:endParaRPr>
        </a:p>
      </xdr:txBody>
    </xdr:sp>
    <xdr:clientData/>
  </xdr:twoCellAnchor>
  <xdr:twoCellAnchor>
    <xdr:from>
      <xdr:col>2</xdr:col>
      <xdr:colOff>1615440</xdr:colOff>
      <xdr:row>3</xdr:row>
      <xdr:rowOff>304800</xdr:rowOff>
    </xdr:from>
    <xdr:to>
      <xdr:col>3</xdr:col>
      <xdr:colOff>624840</xdr:colOff>
      <xdr:row>8</xdr:row>
      <xdr:rowOff>198120</xdr:rowOff>
    </xdr:to>
    <xdr:cxnSp macro="">
      <xdr:nvCxnSpPr>
        <xdr:cNvPr id="10" name="직선 화살표 연결선 9">
          <a:extLst>
            <a:ext uri="{FF2B5EF4-FFF2-40B4-BE49-F238E27FC236}">
              <a16:creationId xmlns:a16="http://schemas.microsoft.com/office/drawing/2014/main" id="{DD8CFE53-2935-46CC-8224-E4BB487A645B}"/>
            </a:ext>
          </a:extLst>
        </xdr:cNvPr>
        <xdr:cNvCxnSpPr/>
      </xdr:nvCxnSpPr>
      <xdr:spPr>
        <a:xfrm flipH="1">
          <a:off x="3688080" y="1264920"/>
          <a:ext cx="769620" cy="982980"/>
        </a:xfrm>
        <a:prstGeom prst="straightConnector1">
          <a:avLst/>
        </a:prstGeom>
        <a:ln w="12700">
          <a:solidFill>
            <a:srgbClr val="FF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723900</xdr:colOff>
      <xdr:row>6</xdr:row>
      <xdr:rowOff>0</xdr:rowOff>
    </xdr:from>
    <xdr:to>
      <xdr:col>6</xdr:col>
      <xdr:colOff>121920</xdr:colOff>
      <xdr:row>7</xdr:row>
      <xdr:rowOff>190500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D49AE3A-FCAC-4292-BC04-811F37995103}"/>
            </a:ext>
          </a:extLst>
        </xdr:cNvPr>
        <xdr:cNvSpPr txBox="1"/>
      </xdr:nvSpPr>
      <xdr:spPr>
        <a:xfrm>
          <a:off x="6812280" y="1638300"/>
          <a:ext cx="2217420" cy="396240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+mj-ea"/>
              <a:ea typeface="+mj-ea"/>
            </a:rPr>
            <a:t>ImageLookup </a:t>
          </a:r>
          <a:r>
            <a:rPr lang="ko-KR" altLang="en-US" sz="1100">
              <a:latin typeface="+mj-ea"/>
              <a:ea typeface="+mj-ea"/>
            </a:rPr>
            <a:t>함수가 입력된 셀</a:t>
          </a:r>
        </a:p>
      </xdr:txBody>
    </xdr:sp>
    <xdr:clientData/>
  </xdr:twoCellAnchor>
  <xdr:twoCellAnchor>
    <xdr:from>
      <xdr:col>5</xdr:col>
      <xdr:colOff>2644140</xdr:colOff>
      <xdr:row>7</xdr:row>
      <xdr:rowOff>182880</xdr:rowOff>
    </xdr:from>
    <xdr:to>
      <xdr:col>6</xdr:col>
      <xdr:colOff>129540</xdr:colOff>
      <xdr:row>10</xdr:row>
      <xdr:rowOff>266700</xdr:rowOff>
    </xdr:to>
    <xdr:cxnSp macro="">
      <xdr:nvCxnSpPr>
        <xdr:cNvPr id="13" name="직선 화살표 연결선 12">
          <a:extLst>
            <a:ext uri="{FF2B5EF4-FFF2-40B4-BE49-F238E27FC236}">
              <a16:creationId xmlns:a16="http://schemas.microsoft.com/office/drawing/2014/main" id="{F7E11C13-B393-4DF4-8572-2DE36D7D07A9}"/>
            </a:ext>
          </a:extLst>
        </xdr:cNvPr>
        <xdr:cNvCxnSpPr/>
      </xdr:nvCxnSpPr>
      <xdr:spPr>
        <a:xfrm flipH="1">
          <a:off x="8732520" y="2026920"/>
          <a:ext cx="304800" cy="601980"/>
        </a:xfrm>
        <a:prstGeom prst="straightConnector1">
          <a:avLst/>
        </a:prstGeom>
        <a:ln w="12700">
          <a:solidFill>
            <a:srgbClr val="FF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68580</xdr:colOff>
      <xdr:row>12</xdr:row>
      <xdr:rowOff>784860</xdr:rowOff>
    </xdr:from>
    <xdr:to>
      <xdr:col>3</xdr:col>
      <xdr:colOff>769620</xdr:colOff>
      <xdr:row>13</xdr:row>
      <xdr:rowOff>670560</xdr:rowOff>
    </xdr:to>
    <xdr:sp macro="" textlink="">
      <xdr:nvSpPr>
        <xdr:cNvPr id="17" name="TextBox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C85614-4178-4F92-93F5-76F2B6EDDA58}"/>
            </a:ext>
          </a:extLst>
        </xdr:cNvPr>
        <xdr:cNvSpPr txBox="1"/>
      </xdr:nvSpPr>
      <xdr:spPr>
        <a:xfrm>
          <a:off x="487680" y="4450080"/>
          <a:ext cx="4114800" cy="891540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>
              <a:latin typeface="+mj-ea"/>
              <a:ea typeface="+mj-ea"/>
            </a:rPr>
            <a:t>ImageLookup </a:t>
          </a:r>
          <a:r>
            <a:rPr lang="ko-KR" altLang="en-US" sz="1100">
              <a:latin typeface="+mj-ea"/>
              <a:ea typeface="+mj-ea"/>
            </a:rPr>
            <a:t>함수에 대한 자세한 설명은 오빠두엑셀 홈페이지</a:t>
          </a:r>
          <a:r>
            <a:rPr lang="ko-KR" altLang="en-US" sz="1100" baseline="0">
              <a:latin typeface="+mj-ea"/>
              <a:ea typeface="+mj-ea"/>
            </a:rPr>
            <a:t> 관련포스트를 참고하세요</a:t>
          </a:r>
          <a:r>
            <a:rPr lang="en-US" altLang="ko-KR" sz="1100" baseline="0">
              <a:latin typeface="+mj-ea"/>
              <a:ea typeface="+mj-ea"/>
            </a:rPr>
            <a:t>.</a:t>
          </a:r>
        </a:p>
        <a:p>
          <a:r>
            <a:rPr lang="en-US" altLang="ko-KR" sz="1100" b="1" u="sng" baseline="0">
              <a:solidFill>
                <a:srgbClr val="0070C0"/>
              </a:solidFill>
              <a:latin typeface="+mj-ea"/>
              <a:ea typeface="+mj-ea"/>
            </a:rPr>
            <a:t>https://www.oppadu.com/</a:t>
          </a:r>
          <a:r>
            <a:rPr lang="ko-KR" altLang="en-US" sz="1100" b="1" u="sng" baseline="0">
              <a:solidFill>
                <a:srgbClr val="0070C0"/>
              </a:solidFill>
              <a:latin typeface="+mj-ea"/>
              <a:ea typeface="+mj-ea"/>
            </a:rPr>
            <a:t>엑셀</a:t>
          </a:r>
          <a:r>
            <a:rPr lang="en-US" altLang="ko-KR" sz="1100" b="1" u="sng" baseline="0">
              <a:solidFill>
                <a:srgbClr val="0070C0"/>
              </a:solidFill>
              <a:latin typeface="+mj-ea"/>
              <a:ea typeface="+mj-ea"/>
            </a:rPr>
            <a:t>-imagelookup-</a:t>
          </a:r>
          <a:r>
            <a:rPr lang="ko-KR" altLang="en-US" sz="1100" b="1" u="sng" baseline="0">
              <a:solidFill>
                <a:srgbClr val="0070C0"/>
              </a:solidFill>
              <a:latin typeface="+mj-ea"/>
              <a:ea typeface="+mj-ea"/>
            </a:rPr>
            <a:t>함수</a:t>
          </a:r>
          <a:endParaRPr lang="ko-KR" altLang="en-US" sz="1100" b="1" u="sng">
            <a:solidFill>
              <a:srgbClr val="0070C0"/>
            </a:solidFill>
            <a:latin typeface="+mj-ea"/>
            <a:ea typeface="+mj-ea"/>
          </a:endParaRPr>
        </a:p>
      </xdr:txBody>
    </xdr:sp>
    <xdr:clientData/>
  </xdr:twoCellAnchor>
  <xdr:twoCellAnchor editAs="oneCell">
    <xdr:from>
      <xdr:col>3</xdr:col>
      <xdr:colOff>83820</xdr:colOff>
      <xdr:row>12</xdr:row>
      <xdr:rowOff>899160</xdr:rowOff>
    </xdr:from>
    <xdr:to>
      <xdr:col>3</xdr:col>
      <xdr:colOff>754380</xdr:colOff>
      <xdr:row>13</xdr:row>
      <xdr:rowOff>563880</xdr:rowOff>
    </xdr:to>
    <xdr:pic>
      <xdr:nvPicPr>
        <xdr:cNvPr id="19" name="그래픽 18" descr="올빼미">
          <a:extLst>
            <a:ext uri="{FF2B5EF4-FFF2-40B4-BE49-F238E27FC236}">
              <a16:creationId xmlns:a16="http://schemas.microsoft.com/office/drawing/2014/main" id="{FC902B17-2497-4B11-81AD-B7B8155DE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916680" y="4564380"/>
          <a:ext cx="670560" cy="670560"/>
        </a:xfrm>
        <a:prstGeom prst="rect">
          <a:avLst/>
        </a:prstGeom>
      </xdr:spPr>
    </xdr:pic>
    <xdr:clientData/>
  </xdr:twoCellAnchor>
  <xdr:twoCellAnchor>
    <xdr:from>
      <xdr:col>1</xdr:col>
      <xdr:colOff>68580</xdr:colOff>
      <xdr:row>13</xdr:row>
      <xdr:rowOff>861060</xdr:rowOff>
    </xdr:from>
    <xdr:to>
      <xdr:col>3</xdr:col>
      <xdr:colOff>800100</xdr:colOff>
      <xdr:row>14</xdr:row>
      <xdr:rowOff>693420</xdr:rowOff>
    </xdr:to>
    <xdr:sp macro="" textlink="">
      <xdr:nvSpPr>
        <xdr:cNvPr id="20" name="TextBox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6ABFB6-4F36-4630-8014-31C5F12BD1CC}"/>
            </a:ext>
          </a:extLst>
        </xdr:cNvPr>
        <xdr:cNvSpPr txBox="1"/>
      </xdr:nvSpPr>
      <xdr:spPr>
        <a:xfrm>
          <a:off x="487680" y="5532120"/>
          <a:ext cx="4145280" cy="838200"/>
        </a:xfrm>
        <a:prstGeom prst="rect">
          <a:avLst/>
        </a:prstGeom>
        <a:solidFill>
          <a:schemeClr val="lt1"/>
        </a:solidFill>
        <a:ln w="12700" cmpd="sng">
          <a:solidFill>
            <a:srgbClr val="FF0000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u="sng">
              <a:latin typeface="+mj-ea"/>
              <a:ea typeface="+mj-ea"/>
            </a:rPr>
            <a:t>다중유효성 목록상자</a:t>
          </a:r>
          <a:r>
            <a:rPr lang="ko-KR" altLang="en-US" sz="1100" b="0">
              <a:latin typeface="+mj-ea"/>
              <a:ea typeface="+mj-ea"/>
            </a:rPr>
            <a:t>가</a:t>
          </a:r>
          <a:r>
            <a:rPr lang="ko-KR" altLang="en-US" sz="1100" b="1">
              <a:latin typeface="+mj-ea"/>
              <a:ea typeface="+mj-ea"/>
            </a:rPr>
            <a:t> </a:t>
          </a:r>
          <a:r>
            <a:rPr lang="ko-KR" altLang="en-US" sz="1100">
              <a:latin typeface="+mj-ea"/>
              <a:ea typeface="+mj-ea"/>
            </a:rPr>
            <a:t>사용되었습니다</a:t>
          </a:r>
          <a:r>
            <a:rPr lang="en-US" altLang="ko-KR" sz="1100">
              <a:latin typeface="+mj-ea"/>
              <a:ea typeface="+mj-ea"/>
            </a:rPr>
            <a:t>.</a:t>
          </a:r>
        </a:p>
        <a:p>
          <a:r>
            <a:rPr lang="ko-KR" altLang="en-US" sz="1100">
              <a:latin typeface="+mj-ea"/>
              <a:ea typeface="+mj-ea"/>
            </a:rPr>
            <a:t>관련강의 보러가기</a:t>
          </a:r>
          <a:endParaRPr lang="en-US" altLang="ko-KR" sz="1100">
            <a:latin typeface="+mj-ea"/>
            <a:ea typeface="+mj-ea"/>
          </a:endParaRPr>
        </a:p>
        <a:p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https://www.oppadu.com/</a:t>
          </a:r>
          <a:r>
            <a:rPr lang="ko-KR" altLang="en-US" sz="1100" b="1" u="sng">
              <a:solidFill>
                <a:srgbClr val="0070C0"/>
              </a:solidFill>
              <a:latin typeface="+mj-ea"/>
              <a:ea typeface="+mj-ea"/>
            </a:rPr>
            <a:t>엑셀</a:t>
          </a:r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-</a:t>
          </a:r>
          <a:r>
            <a:rPr lang="ko-KR" altLang="en-US" sz="1100" b="1" u="sng">
              <a:solidFill>
                <a:srgbClr val="0070C0"/>
              </a:solidFill>
              <a:latin typeface="+mj-ea"/>
              <a:ea typeface="+mj-ea"/>
            </a:rPr>
            <a:t>다중</a:t>
          </a:r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-</a:t>
          </a:r>
          <a:r>
            <a:rPr lang="ko-KR" altLang="en-US" sz="1100" b="1" u="sng">
              <a:solidFill>
                <a:srgbClr val="0070C0"/>
              </a:solidFill>
              <a:latin typeface="+mj-ea"/>
              <a:ea typeface="+mj-ea"/>
            </a:rPr>
            <a:t>데이터유효성</a:t>
          </a:r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-</a:t>
          </a:r>
          <a:r>
            <a:rPr lang="ko-KR" altLang="en-US" sz="1100" b="1" u="sng">
              <a:solidFill>
                <a:srgbClr val="0070C0"/>
              </a:solidFill>
              <a:latin typeface="+mj-ea"/>
              <a:ea typeface="+mj-ea"/>
            </a:rPr>
            <a:t>검사</a:t>
          </a:r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-</a:t>
          </a:r>
          <a:r>
            <a:rPr lang="ko-KR" altLang="en-US" sz="1100" b="1" u="sng">
              <a:solidFill>
                <a:srgbClr val="0070C0"/>
              </a:solidFill>
              <a:latin typeface="+mj-ea"/>
              <a:ea typeface="+mj-ea"/>
            </a:rPr>
            <a:t>함수</a:t>
          </a:r>
          <a:r>
            <a:rPr lang="en-US" altLang="ko-KR" sz="1100" b="1" u="sng">
              <a:solidFill>
                <a:srgbClr val="0070C0"/>
              </a:solidFill>
              <a:latin typeface="+mj-ea"/>
              <a:ea typeface="+mj-ea"/>
            </a:rPr>
            <a:t>/</a:t>
          </a:r>
          <a:endParaRPr lang="ko-KR" altLang="en-US" sz="1100" b="1" u="sng">
            <a:solidFill>
              <a:srgbClr val="0070C0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3</xdr:col>
      <xdr:colOff>792480</xdr:colOff>
      <xdr:row>11</xdr:row>
      <xdr:rowOff>868680</xdr:rowOff>
    </xdr:from>
    <xdr:to>
      <xdr:col>4</xdr:col>
      <xdr:colOff>647700</xdr:colOff>
      <xdr:row>13</xdr:row>
      <xdr:rowOff>853440</xdr:rowOff>
    </xdr:to>
    <xdr:cxnSp macro="">
      <xdr:nvCxnSpPr>
        <xdr:cNvPr id="21" name="직선 화살표 연결선 20">
          <a:extLst>
            <a:ext uri="{FF2B5EF4-FFF2-40B4-BE49-F238E27FC236}">
              <a16:creationId xmlns:a16="http://schemas.microsoft.com/office/drawing/2014/main" id="{095F9023-9698-4BA5-80D8-F47295359263}"/>
            </a:ext>
          </a:extLst>
        </xdr:cNvPr>
        <xdr:cNvCxnSpPr/>
      </xdr:nvCxnSpPr>
      <xdr:spPr>
        <a:xfrm flipV="1">
          <a:off x="4625340" y="3528060"/>
          <a:ext cx="876300" cy="1996440"/>
        </a:xfrm>
        <a:prstGeom prst="straightConnector1">
          <a:avLst/>
        </a:prstGeom>
        <a:ln w="12700">
          <a:solidFill>
            <a:srgbClr val="FF0000"/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ppadu" refreshedDate="43808.029095370373" createdVersion="6" refreshedVersion="6" minRefreshableVersion="3" recordCount="17" xr:uid="{00000000-000A-0000-FFFF-FFFF01000000}">
  <cacheSource type="worksheet">
    <worksheetSource name="표1"/>
  </cacheSource>
  <cacheFields count="3">
    <cacheField name="제조사" numFmtId="0">
      <sharedItems count="5">
        <s v="농심"/>
        <s v="롯데"/>
        <s v="오리온"/>
        <s v="크라운"/>
        <s v="해태"/>
      </sharedItems>
    </cacheField>
    <cacheField name="제품명" numFmtId="0">
      <sharedItems/>
    </cacheField>
    <cacheField name="가격" numFmtId="3">
      <sharedItems containsSemiMixedTypes="0" containsString="0" containsNumber="1" containsInteger="1" minValue="110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고구마깡"/>
    <n v="1300"/>
  </r>
  <r>
    <x v="0"/>
    <s v="새우깡"/>
    <n v="1300"/>
  </r>
  <r>
    <x v="0"/>
    <s v="알새우칩"/>
    <n v="1100"/>
  </r>
  <r>
    <x v="0"/>
    <s v="자갈치"/>
    <n v="1900"/>
  </r>
  <r>
    <x v="1"/>
    <s v="도리토스"/>
    <n v="1300"/>
  </r>
  <r>
    <x v="1"/>
    <s v="오레오"/>
    <n v="1400"/>
  </r>
  <r>
    <x v="1"/>
    <s v="초코파이"/>
    <n v="1600"/>
  </r>
  <r>
    <x v="1"/>
    <s v="치토스"/>
    <n v="1700"/>
  </r>
  <r>
    <x v="1"/>
    <s v="칙촉"/>
    <n v="1600"/>
  </r>
  <r>
    <x v="1"/>
    <s v="꼬깔콘"/>
    <n v="1300"/>
  </r>
  <r>
    <x v="2"/>
    <s v="썬칩"/>
    <n v="1900"/>
  </r>
  <r>
    <x v="2"/>
    <s v="오징어땅콩"/>
    <n v="1800"/>
  </r>
  <r>
    <x v="2"/>
    <s v="초코파이"/>
    <n v="1900"/>
  </r>
  <r>
    <x v="3"/>
    <s v="버터와플"/>
    <n v="2000"/>
  </r>
  <r>
    <x v="3"/>
    <s v="뽀또"/>
    <n v="1900"/>
  </r>
  <r>
    <x v="4"/>
    <s v="오사쯔"/>
    <n v="1800"/>
  </r>
  <r>
    <x v="4"/>
    <s v="홈런볼"/>
    <n v="1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outline="1" outlineData="1" multipleFieldFilters="0">
  <location ref="E1:E6" firstHeaderRow="1" firstDataRow="1" firstDataCol="1"/>
  <pivotFields count="3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3" showAl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A1:C18" totalsRowShown="0">
  <autoFilter ref="A1:C18" xr:uid="{00000000-0009-0000-0100-000001000000}"/>
  <tableColumns count="3">
    <tableColumn id="1" xr3:uid="{00000000-0010-0000-0000-000001000000}" name="제조사"/>
    <tableColumn id="2" xr3:uid="{00000000-0010-0000-0000-000002000000}" name="제품명"/>
    <tableColumn id="3" xr3:uid="{00000000-0010-0000-0000-000003000000}" name="가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9EDCB-2864-4495-A631-7C3C0E95C68B}">
  <sheetPr codeName="Notice"/>
  <dimension ref="A1:L94"/>
  <sheetViews>
    <sheetView showGridLines="0" tabSelected="1" zoomScale="160" zoomScaleNormal="160" workbookViewId="0">
      <selection activeCell="E3" sqref="E3:J3"/>
    </sheetView>
  </sheetViews>
  <sheetFormatPr defaultColWidth="0" defaultRowHeight="17.399999999999999" zeroHeight="1" x14ac:dyDescent="0.4"/>
  <cols>
    <col min="1" max="1" width="2" customWidth="1"/>
    <col min="2" max="2" width="8.796875" style="35" customWidth="1"/>
    <col min="3" max="3" width="7.59765625" style="35" customWidth="1"/>
    <col min="4" max="4" width="8.796875" style="35" customWidth="1"/>
    <col min="5" max="5" width="9.3984375" style="35" customWidth="1"/>
    <col min="6" max="7" width="8.796875" style="35" customWidth="1"/>
    <col min="8" max="8" width="7.796875" style="35" customWidth="1"/>
    <col min="9" max="9" width="7.8984375" style="35" customWidth="1"/>
    <col min="10" max="10" width="6.19921875" style="35" customWidth="1"/>
    <col min="11" max="11" width="2" style="35" customWidth="1"/>
    <col min="12" max="16384" width="8.796875" style="35" hidden="1"/>
  </cols>
  <sheetData>
    <row r="1" spans="1:12" s="52" customFormat="1" ht="17.399999999999999" customHeight="1" x14ac:dyDescent="0.4">
      <c r="A1" s="54"/>
      <c r="B1" s="53" t="s">
        <v>54</v>
      </c>
      <c r="C1" s="53"/>
      <c r="D1" s="53"/>
      <c r="E1" s="53"/>
      <c r="F1" s="53"/>
      <c r="G1" s="53"/>
      <c r="H1" s="53"/>
      <c r="I1" s="53"/>
      <c r="J1" s="53"/>
      <c r="K1" s="46" t="str">
        <f>HYPERLINK("mailto:info@oppadu.com?subject=첨부파일문의: "&amp;E3,"")</f>
        <v/>
      </c>
    </row>
    <row r="2" spans="1:12" ht="26.4" customHeight="1" thickBot="1" x14ac:dyDescent="0.45">
      <c r="A2" s="35"/>
    </row>
    <row r="3" spans="1:12" ht="25.8" customHeight="1" thickTop="1" x14ac:dyDescent="0.4">
      <c r="A3" s="35"/>
      <c r="B3" s="55" t="s">
        <v>53</v>
      </c>
      <c r="C3" s="56"/>
      <c r="D3" s="56"/>
      <c r="E3" s="57" t="s">
        <v>55</v>
      </c>
      <c r="F3" s="57"/>
      <c r="G3" s="57"/>
      <c r="H3" s="57"/>
      <c r="I3" s="57"/>
      <c r="J3" s="58"/>
    </row>
    <row r="4" spans="1:12" ht="7.8" customHeight="1" x14ac:dyDescent="0.4">
      <c r="A4" s="35"/>
      <c r="B4" s="51"/>
      <c r="C4"/>
      <c r="D4"/>
      <c r="E4"/>
      <c r="F4"/>
      <c r="G4"/>
      <c r="H4"/>
      <c r="I4"/>
      <c r="J4" s="39"/>
    </row>
    <row r="5" spans="1:12" ht="15.6" customHeight="1" x14ac:dyDescent="0.4">
      <c r="A5" s="35"/>
      <c r="B5" s="59"/>
      <c r="C5" s="60"/>
      <c r="D5" s="60"/>
      <c r="E5" s="60"/>
      <c r="F5" s="60"/>
      <c r="G5" s="60"/>
      <c r="H5" s="60"/>
      <c r="I5" s="60"/>
      <c r="J5" s="61"/>
    </row>
    <row r="6" spans="1:12" ht="18" customHeight="1" x14ac:dyDescent="0.4">
      <c r="A6" s="35"/>
      <c r="B6" s="48"/>
      <c r="C6" s="42"/>
      <c r="D6" s="49" t="s">
        <v>52</v>
      </c>
      <c r="E6" s="42"/>
      <c r="F6" s="50" t="str">
        <f>HYPERLINK("mailto:info@oppadu.com?subject=첨부파일문의: "&amp;E3&amp;"&amp;body=요청사항 : ","이 버튼을 클릭")</f>
        <v>이 버튼을 클릭</v>
      </c>
      <c r="G6" s="49" t="s">
        <v>51</v>
      </c>
      <c r="H6" s="42"/>
      <c r="I6" s="42"/>
      <c r="J6" s="41"/>
    </row>
    <row r="7" spans="1:12" ht="13.8" customHeight="1" x14ac:dyDescent="0.4">
      <c r="A7" s="35"/>
      <c r="B7" s="48"/>
      <c r="C7" s="42"/>
      <c r="D7" s="44" t="s">
        <v>50</v>
      </c>
      <c r="E7" s="42"/>
      <c r="F7" s="42"/>
      <c r="G7" s="42"/>
      <c r="H7" s="42"/>
      <c r="I7" s="47" t="s">
        <v>49</v>
      </c>
      <c r="J7" s="41"/>
      <c r="L7" s="46"/>
    </row>
    <row r="8" spans="1:12" ht="27.6" customHeight="1" x14ac:dyDescent="0.4">
      <c r="A8" s="35"/>
      <c r="B8" s="45"/>
      <c r="C8" s="43"/>
      <c r="D8" s="44" t="s">
        <v>48</v>
      </c>
      <c r="E8" s="43"/>
      <c r="F8" s="43"/>
      <c r="G8" s="43"/>
      <c r="H8" s="43"/>
      <c r="I8" s="42"/>
      <c r="J8" s="41"/>
    </row>
    <row r="9" spans="1:12" ht="6" customHeight="1" x14ac:dyDescent="0.4">
      <c r="A9" s="35"/>
      <c r="B9" s="40"/>
      <c r="C9"/>
      <c r="D9"/>
      <c r="E9"/>
      <c r="F9"/>
      <c r="G9"/>
      <c r="H9"/>
      <c r="I9"/>
      <c r="J9" s="39"/>
    </row>
    <row r="10" spans="1:12" x14ac:dyDescent="0.4">
      <c r="A10" s="35"/>
      <c r="B10" s="40"/>
      <c r="C10"/>
      <c r="D10"/>
      <c r="E10"/>
      <c r="F10"/>
      <c r="G10"/>
      <c r="H10"/>
      <c r="I10"/>
      <c r="J10" s="39"/>
    </row>
    <row r="11" spans="1:12" x14ac:dyDescent="0.4">
      <c r="A11" s="35"/>
      <c r="B11" s="40"/>
      <c r="C11"/>
      <c r="D11"/>
      <c r="E11"/>
      <c r="F11"/>
      <c r="G11"/>
      <c r="H11"/>
      <c r="I11"/>
      <c r="J11" s="39"/>
    </row>
    <row r="12" spans="1:12" x14ac:dyDescent="0.4">
      <c r="A12" s="35"/>
      <c r="B12" s="40"/>
      <c r="C12"/>
      <c r="D12"/>
      <c r="E12"/>
      <c r="F12"/>
      <c r="G12"/>
      <c r="H12"/>
      <c r="I12"/>
      <c r="J12" s="39"/>
    </row>
    <row r="13" spans="1:12" ht="18" thickBot="1" x14ac:dyDescent="0.45">
      <c r="A13" s="35"/>
      <c r="B13" s="38"/>
      <c r="C13" s="37"/>
      <c r="D13" s="37"/>
      <c r="E13" s="37"/>
      <c r="F13" s="37"/>
      <c r="G13" s="37"/>
      <c r="H13" s="37"/>
      <c r="I13" s="37"/>
      <c r="J13" s="36"/>
    </row>
    <row r="14" spans="1:12" ht="9.6" customHeight="1" thickTop="1" x14ac:dyDescent="0.4">
      <c r="A14" s="35"/>
    </row>
    <row r="15" spans="1:12" hidden="1" x14ac:dyDescent="0.4"/>
    <row r="16" spans="1:12" hidden="1" x14ac:dyDescent="0.4"/>
    <row r="17" hidden="1" x14ac:dyDescent="0.4"/>
    <row r="18" hidden="1" x14ac:dyDescent="0.4"/>
    <row r="19" hidden="1" x14ac:dyDescent="0.4"/>
    <row r="20" hidden="1" x14ac:dyDescent="0.4"/>
    <row r="21" hidden="1" x14ac:dyDescent="0.4"/>
    <row r="22" hidden="1" x14ac:dyDescent="0.4"/>
    <row r="23" hidden="1" x14ac:dyDescent="0.4"/>
    <row r="24" hidden="1" x14ac:dyDescent="0.4"/>
    <row r="25" hidden="1" x14ac:dyDescent="0.4"/>
    <row r="26" hidden="1" x14ac:dyDescent="0.4"/>
    <row r="27" hidden="1" x14ac:dyDescent="0.4"/>
    <row r="28" hidden="1" x14ac:dyDescent="0.4"/>
    <row r="29" hidden="1" x14ac:dyDescent="0.4"/>
    <row r="30" hidden="1" x14ac:dyDescent="0.4"/>
    <row r="31" hidden="1" x14ac:dyDescent="0.4"/>
    <row r="32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8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  <row r="67" hidden="1" x14ac:dyDescent="0.4"/>
    <row r="68" hidden="1" x14ac:dyDescent="0.4"/>
    <row r="69" hidden="1" x14ac:dyDescent="0.4"/>
    <row r="70" hidden="1" x14ac:dyDescent="0.4"/>
    <row r="71" hidden="1" x14ac:dyDescent="0.4"/>
    <row r="72" hidden="1" x14ac:dyDescent="0.4"/>
    <row r="73" hidden="1" x14ac:dyDescent="0.4"/>
    <row r="74" hidden="1" x14ac:dyDescent="0.4"/>
    <row r="75" hidden="1" x14ac:dyDescent="0.4"/>
    <row r="76" hidden="1" x14ac:dyDescent="0.4"/>
    <row r="77" hidden="1" x14ac:dyDescent="0.4"/>
    <row r="78" hidden="1" x14ac:dyDescent="0.4"/>
    <row r="79" hidden="1" x14ac:dyDescent="0.4"/>
    <row r="80" hidden="1" x14ac:dyDescent="0.4"/>
    <row r="81" hidden="1" x14ac:dyDescent="0.4"/>
    <row r="82" hidden="1" x14ac:dyDescent="0.4"/>
    <row r="83" hidden="1" x14ac:dyDescent="0.4"/>
    <row r="84" hidden="1" x14ac:dyDescent="0.4"/>
    <row r="85" hidden="1" x14ac:dyDescent="0.4"/>
    <row r="86" hidden="1" x14ac:dyDescent="0.4"/>
    <row r="87" hidden="1" x14ac:dyDescent="0.4"/>
    <row r="88" hidden="1" x14ac:dyDescent="0.4"/>
    <row r="89" hidden="1" x14ac:dyDescent="0.4"/>
    <row r="90" hidden="1" x14ac:dyDescent="0.4"/>
    <row r="91" hidden="1" x14ac:dyDescent="0.4"/>
    <row r="92" hidden="1" x14ac:dyDescent="0.4"/>
    <row r="93" hidden="1" x14ac:dyDescent="0.4"/>
    <row r="94" hidden="1" x14ac:dyDescent="0.4"/>
  </sheetData>
  <sheetProtection selectLockedCells="1" selectUnlockedCells="1"/>
  <mergeCells count="3">
    <mergeCell ref="B3:D3"/>
    <mergeCell ref="E3:J3"/>
    <mergeCell ref="B5:J5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9"/>
  <sheetViews>
    <sheetView showGridLines="0" zoomScaleNormal="100" workbookViewId="0"/>
  </sheetViews>
  <sheetFormatPr defaultColWidth="8.69921875" defaultRowHeight="14.4" x14ac:dyDescent="0.4"/>
  <cols>
    <col min="1" max="1" width="5.5" style="2" customWidth="1"/>
    <col min="2" max="2" width="21.69921875" style="2" customWidth="1"/>
    <col min="3" max="3" width="23.09765625" style="2" customWidth="1"/>
    <col min="4" max="4" width="13.3984375" style="2" customWidth="1"/>
    <col min="5" max="5" width="16.19921875" style="2" customWidth="1"/>
    <col min="6" max="6" width="37" style="2" customWidth="1"/>
    <col min="7" max="7" width="12.3984375" style="2" customWidth="1"/>
    <col min="8" max="8" width="14.5" style="2" customWidth="1"/>
    <col min="9" max="9" width="13.69921875" style="2" customWidth="1"/>
    <col min="10" max="10" width="8.19921875" style="2" customWidth="1"/>
    <col min="11" max="16384" width="8.69921875" style="2"/>
  </cols>
  <sheetData>
    <row r="2" spans="2:10" ht="30.6" customHeight="1" x14ac:dyDescent="0.4">
      <c r="E2" s="12"/>
      <c r="F2" s="12"/>
      <c r="G2" s="12"/>
      <c r="H2" s="12"/>
      <c r="I2" s="12"/>
    </row>
    <row r="3" spans="2:10" ht="30.6" customHeight="1" x14ac:dyDescent="0.4">
      <c r="E3" s="12"/>
      <c r="F3" s="12"/>
      <c r="G3" s="12"/>
      <c r="H3" s="12"/>
      <c r="I3" s="12"/>
      <c r="J3" s="11">
        <f ca="1">TODAY()</f>
        <v>43821</v>
      </c>
    </row>
    <row r="4" spans="2:10" ht="30.6" customHeight="1" x14ac:dyDescent="0.4">
      <c r="E4" s="12"/>
      <c r="F4" s="12"/>
      <c r="G4" s="12"/>
      <c r="H4" s="12"/>
      <c r="I4" s="12"/>
    </row>
    <row r="5" spans="2:10" s="7" customFormat="1" ht="6.6" customHeight="1" x14ac:dyDescent="0.4">
      <c r="E5" s="10"/>
      <c r="F5" s="10"/>
      <c r="G5" s="10"/>
      <c r="H5" s="10"/>
      <c r="I5" s="10"/>
      <c r="J5" s="10"/>
    </row>
    <row r="6" spans="2:10" s="7" customFormat="1" ht="16.2" customHeight="1" x14ac:dyDescent="0.4">
      <c r="B6" s="32" t="s">
        <v>5</v>
      </c>
      <c r="C6" s="31" t="s">
        <v>30</v>
      </c>
      <c r="E6" s="20" t="s">
        <v>34</v>
      </c>
      <c r="F6" s="21"/>
      <c r="G6" s="20" t="s">
        <v>38</v>
      </c>
      <c r="H6" s="21"/>
      <c r="I6" s="21"/>
      <c r="J6" s="9"/>
    </row>
    <row r="7" spans="2:10" s="7" customFormat="1" ht="16.2" customHeight="1" x14ac:dyDescent="0.4">
      <c r="B7" s="33" t="s">
        <v>41</v>
      </c>
      <c r="C7" s="34" t="str">
        <f ca="1">LEFT(CELL("filename",A1),FIND("[",CELL("filename",A1))-1)&amp;"과자모음\"&amp;C6</f>
        <v>D:\Dropbox\9. 내 드롭박스\@. #오빠두\@ 엑셀 - 영상강의\1d_엑셀 VBA 강의\1b_퀵 VBA 강의\퀵VBA 8강 ImageLookup 함수\과자모음\농심</v>
      </c>
      <c r="E7" s="22" t="s">
        <v>35</v>
      </c>
      <c r="F7" s="21"/>
      <c r="G7" s="22" t="s">
        <v>39</v>
      </c>
      <c r="H7" s="21"/>
      <c r="I7" s="21"/>
      <c r="J7" s="9"/>
    </row>
    <row r="8" spans="2:10" s="7" customFormat="1" ht="16.2" customHeight="1" x14ac:dyDescent="0.4">
      <c r="B8" s="32" t="s">
        <v>42</v>
      </c>
      <c r="C8" s="31" t="b">
        <v>1</v>
      </c>
      <c r="E8" s="22" t="s">
        <v>36</v>
      </c>
      <c r="F8" s="21"/>
      <c r="G8" s="22" t="s">
        <v>40</v>
      </c>
      <c r="H8" s="21"/>
      <c r="I8" s="21"/>
      <c r="J8" s="9"/>
    </row>
    <row r="9" spans="2:10" s="7" customFormat="1" ht="16.2" customHeight="1" x14ac:dyDescent="0.4">
      <c r="E9" s="22" t="s">
        <v>37</v>
      </c>
      <c r="F9" s="21"/>
      <c r="G9" s="22" t="s">
        <v>33</v>
      </c>
      <c r="H9" s="21"/>
      <c r="I9" s="21"/>
      <c r="J9" s="9"/>
    </row>
    <row r="10" spans="2:10" ht="8.4" customHeight="1" x14ac:dyDescent="0.4">
      <c r="E10" s="6"/>
      <c r="F10" s="6"/>
      <c r="G10" s="6"/>
      <c r="H10" s="6"/>
      <c r="I10" s="6"/>
      <c r="J10" s="6"/>
    </row>
    <row r="11" spans="2:10" ht="23.4" customHeight="1" x14ac:dyDescent="0.4">
      <c r="E11" s="14" t="s">
        <v>13</v>
      </c>
      <c r="F11" s="14" t="s">
        <v>46</v>
      </c>
      <c r="G11" s="15" t="s">
        <v>27</v>
      </c>
      <c r="H11" s="15" t="s">
        <v>28</v>
      </c>
      <c r="I11" s="15" t="s">
        <v>23</v>
      </c>
    </row>
    <row r="12" spans="2:10" ht="79.2" customHeight="1" x14ac:dyDescent="0.4">
      <c r="C12" s="6"/>
      <c r="D12" s="3"/>
      <c r="E12" s="16" t="s">
        <v>11</v>
      </c>
      <c r="F12" s="67" t="str">
        <f ca="1">ImageLookup(E12,$C$7)</f>
        <v/>
      </c>
      <c r="G12" s="28">
        <f>IFERROR(VLOOKUP(E12,Sheet2!B:C,2,0),0)</f>
        <v>1900</v>
      </c>
      <c r="H12" s="17">
        <v>1</v>
      </c>
      <c r="I12" s="28">
        <f>H12*G12</f>
        <v>1900</v>
      </c>
    </row>
    <row r="13" spans="2:10" ht="79.2" customHeight="1" x14ac:dyDescent="0.4">
      <c r="B13" s="8"/>
      <c r="C13" s="7"/>
      <c r="E13" s="18" t="s">
        <v>47</v>
      </c>
      <c r="F13" s="16" t="str">
        <f ca="1">ImageLookup(E13,$C$7)</f>
        <v/>
      </c>
      <c r="G13" s="29">
        <f>IFERROR(VLOOKUP(E13,Sheet2!B:C,2,0),0)</f>
        <v>1300</v>
      </c>
      <c r="H13" s="19">
        <v>1</v>
      </c>
      <c r="I13" s="29">
        <f t="shared" ref="I13:I16" si="0">H13*G13</f>
        <v>1300</v>
      </c>
    </row>
    <row r="14" spans="2:10" ht="79.2" customHeight="1" x14ac:dyDescent="0.4">
      <c r="B14" s="8"/>
      <c r="C14" s="7"/>
      <c r="E14" s="18" t="s">
        <v>10</v>
      </c>
      <c r="F14" s="16" t="str">
        <f ca="1">ImageLookup(E14,$C$7)</f>
        <v/>
      </c>
      <c r="G14" s="29">
        <f>IFERROR(VLOOKUP(E14,Sheet2!B:C,2,0),0)</f>
        <v>1100</v>
      </c>
      <c r="H14" s="19">
        <v>1</v>
      </c>
      <c r="I14" s="29">
        <f t="shared" si="0"/>
        <v>1100</v>
      </c>
    </row>
    <row r="15" spans="2:10" ht="79.2" customHeight="1" x14ac:dyDescent="0.4">
      <c r="B15" s="8"/>
      <c r="C15" s="7"/>
      <c r="E15" s="18"/>
      <c r="F15" s="16" t="str">
        <f>ImageLookup(E15,$C$7)</f>
        <v>-</v>
      </c>
      <c r="G15" s="29">
        <f>IFERROR(VLOOKUP(E15,Sheet2!B:C,2,0),0)</f>
        <v>0</v>
      </c>
      <c r="H15" s="19"/>
      <c r="I15" s="29">
        <f t="shared" si="0"/>
        <v>0</v>
      </c>
    </row>
    <row r="16" spans="2:10" ht="79.2" customHeight="1" x14ac:dyDescent="0.4">
      <c r="B16" s="8"/>
      <c r="C16" s="7"/>
      <c r="E16" s="26"/>
      <c r="F16" s="16" t="str">
        <f t="shared" ref="F16" si="1">ImageLookup(E16,$C$7)</f>
        <v>-</v>
      </c>
      <c r="G16" s="30">
        <f>IFERROR(VLOOKUP(E16,Sheet2!B:C,2,0),0)</f>
        <v>0</v>
      </c>
      <c r="H16" s="27"/>
      <c r="I16" s="30">
        <f t="shared" si="0"/>
        <v>0</v>
      </c>
    </row>
    <row r="17" spans="5:9" ht="22.2" customHeight="1" x14ac:dyDescent="0.4">
      <c r="E17" s="13"/>
      <c r="F17" s="13"/>
      <c r="G17" s="23" t="s">
        <v>43</v>
      </c>
      <c r="H17" s="65">
        <f>SUM(I12:I16)</f>
        <v>4300</v>
      </c>
      <c r="I17" s="66"/>
    </row>
    <row r="18" spans="5:9" ht="22.2" customHeight="1" x14ac:dyDescent="0.4">
      <c r="E18" s="13"/>
      <c r="F18" s="13"/>
      <c r="G18" s="24" t="s">
        <v>44</v>
      </c>
      <c r="H18" s="63">
        <f>H17*10%</f>
        <v>430</v>
      </c>
      <c r="I18" s="64"/>
    </row>
    <row r="19" spans="5:9" ht="22.2" customHeight="1" x14ac:dyDescent="0.4">
      <c r="E19" s="13"/>
      <c r="F19" s="13"/>
      <c r="G19" s="25" t="s">
        <v>45</v>
      </c>
      <c r="H19" s="62">
        <f>SUM(H17:I18)</f>
        <v>4730</v>
      </c>
      <c r="I19" s="62"/>
    </row>
  </sheetData>
  <mergeCells count="3">
    <mergeCell ref="H19:I19"/>
    <mergeCell ref="H18:I18"/>
    <mergeCell ref="H17:I17"/>
  </mergeCells>
  <phoneticPr fontId="1" type="noConversion"/>
  <dataValidations count="3">
    <dataValidation type="list" allowBlank="1" sqref="E12:E16" xr:uid="{00000000-0002-0000-0000-000000000000}">
      <formula1>목록상자_2</formula1>
    </dataValidation>
    <dataValidation type="list" allowBlank="1" showInputMessage="1" showErrorMessage="1" sqref="C6 B15:B16" xr:uid="{00000000-0002-0000-0000-000001000000}">
      <formula1>목록상자_1</formula1>
    </dataValidation>
    <dataValidation type="list" allowBlank="1" showInputMessage="1" showErrorMessage="1" sqref="C8 C15:C16" xr:uid="{00000000-0002-0000-0000-000002000000}">
      <formula1>"TRUE, FALSE"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cellComments="asDisplayed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8"/>
  <sheetViews>
    <sheetView workbookViewId="0">
      <selection activeCell="H9" sqref="H9"/>
    </sheetView>
  </sheetViews>
  <sheetFormatPr defaultRowHeight="17.399999999999999" x14ac:dyDescent="0.4"/>
  <cols>
    <col min="1" max="2" width="10.59765625" customWidth="1"/>
    <col min="3" max="3" width="8.69921875" style="1"/>
    <col min="5" max="5" width="11.19921875" bestFit="1" customWidth="1"/>
  </cols>
  <sheetData>
    <row r="1" spans="1:5" x14ac:dyDescent="0.4">
      <c r="A1" t="s">
        <v>12</v>
      </c>
      <c r="B1" t="s">
        <v>13</v>
      </c>
      <c r="C1" s="1" t="s">
        <v>23</v>
      </c>
      <c r="E1" s="4" t="s">
        <v>29</v>
      </c>
    </row>
    <row r="2" spans="1:5" x14ac:dyDescent="0.4">
      <c r="A2" t="s">
        <v>9</v>
      </c>
      <c r="B2" t="s">
        <v>0</v>
      </c>
      <c r="C2" s="1">
        <v>1300</v>
      </c>
      <c r="E2" s="5" t="s">
        <v>30</v>
      </c>
    </row>
    <row r="3" spans="1:5" x14ac:dyDescent="0.4">
      <c r="A3" t="s">
        <v>9</v>
      </c>
      <c r="B3" t="s">
        <v>1</v>
      </c>
      <c r="C3" s="1">
        <v>1300</v>
      </c>
      <c r="E3" s="5" t="s">
        <v>25</v>
      </c>
    </row>
    <row r="4" spans="1:5" x14ac:dyDescent="0.4">
      <c r="A4" t="s">
        <v>9</v>
      </c>
      <c r="B4" t="s">
        <v>10</v>
      </c>
      <c r="C4" s="1">
        <v>1100</v>
      </c>
      <c r="E4" s="5" t="s">
        <v>31</v>
      </c>
    </row>
    <row r="5" spans="1:5" x14ac:dyDescent="0.4">
      <c r="A5" t="s">
        <v>9</v>
      </c>
      <c r="B5" t="s">
        <v>11</v>
      </c>
      <c r="C5" s="1">
        <v>1900</v>
      </c>
      <c r="E5" s="5" t="s">
        <v>24</v>
      </c>
    </row>
    <row r="6" spans="1:5" x14ac:dyDescent="0.4">
      <c r="A6" t="s">
        <v>6</v>
      </c>
      <c r="B6" t="s">
        <v>14</v>
      </c>
      <c r="C6" s="1">
        <v>1300</v>
      </c>
      <c r="E6" s="5" t="s">
        <v>32</v>
      </c>
    </row>
    <row r="7" spans="1:5" x14ac:dyDescent="0.4">
      <c r="A7" t="s">
        <v>6</v>
      </c>
      <c r="B7" t="s">
        <v>2</v>
      </c>
      <c r="C7" s="1">
        <v>1400</v>
      </c>
    </row>
    <row r="8" spans="1:5" x14ac:dyDescent="0.4">
      <c r="A8" t="s">
        <v>6</v>
      </c>
      <c r="B8" t="s">
        <v>8</v>
      </c>
      <c r="C8" s="1">
        <v>1600</v>
      </c>
    </row>
    <row r="9" spans="1:5" x14ac:dyDescent="0.4">
      <c r="A9" t="s">
        <v>6</v>
      </c>
      <c r="B9" t="s">
        <v>15</v>
      </c>
      <c r="C9" s="1">
        <v>1700</v>
      </c>
    </row>
    <row r="10" spans="1:5" x14ac:dyDescent="0.4">
      <c r="A10" t="s">
        <v>6</v>
      </c>
      <c r="B10" t="s">
        <v>7</v>
      </c>
      <c r="C10" s="1">
        <v>1600</v>
      </c>
    </row>
    <row r="11" spans="1:5" x14ac:dyDescent="0.4">
      <c r="A11" t="s">
        <v>6</v>
      </c>
      <c r="B11" t="s">
        <v>26</v>
      </c>
      <c r="C11" s="1">
        <v>1300</v>
      </c>
    </row>
    <row r="12" spans="1:5" x14ac:dyDescent="0.4">
      <c r="A12" t="s">
        <v>16</v>
      </c>
      <c r="B12" t="s">
        <v>17</v>
      </c>
      <c r="C12" s="1">
        <v>1900</v>
      </c>
    </row>
    <row r="13" spans="1:5" x14ac:dyDescent="0.4">
      <c r="A13" t="s">
        <v>16</v>
      </c>
      <c r="B13" t="s">
        <v>18</v>
      </c>
      <c r="C13" s="1">
        <v>1800</v>
      </c>
    </row>
    <row r="14" spans="1:5" x14ac:dyDescent="0.4">
      <c r="A14" t="s">
        <v>16</v>
      </c>
      <c r="B14" t="s">
        <v>8</v>
      </c>
      <c r="C14" s="1">
        <v>1900</v>
      </c>
    </row>
    <row r="15" spans="1:5" x14ac:dyDescent="0.4">
      <c r="A15" t="s">
        <v>19</v>
      </c>
      <c r="B15" t="s">
        <v>4</v>
      </c>
      <c r="C15" s="1">
        <v>2000</v>
      </c>
    </row>
    <row r="16" spans="1:5" x14ac:dyDescent="0.4">
      <c r="A16" t="s">
        <v>19</v>
      </c>
      <c r="B16" t="s">
        <v>20</v>
      </c>
      <c r="C16" s="1">
        <v>1900</v>
      </c>
    </row>
    <row r="17" spans="1:3" x14ac:dyDescent="0.4">
      <c r="A17" t="s">
        <v>21</v>
      </c>
      <c r="B17" t="s">
        <v>3</v>
      </c>
      <c r="C17" s="1">
        <v>1800</v>
      </c>
    </row>
    <row r="18" spans="1:3" x14ac:dyDescent="0.4">
      <c r="A18" t="s">
        <v>21</v>
      </c>
      <c r="B18" t="s">
        <v>22</v>
      </c>
      <c r="C18" s="1">
        <v>1600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안내</vt:lpstr>
      <vt:lpstr>Sheet1</vt:lpstr>
      <vt:lpstr>Sheet2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Oppadu</cp:lastModifiedBy>
  <cp:lastPrinted>2019-12-10T13:52:45Z</cp:lastPrinted>
  <dcterms:created xsi:type="dcterms:W3CDTF">2019-12-07T18:08:56Z</dcterms:created>
  <dcterms:modified xsi:type="dcterms:W3CDTF">2019-12-22T13:04:06Z</dcterms:modified>
</cp:coreProperties>
</file>