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ownloads\vba-master\"/>
    </mc:Choice>
  </mc:AlternateContent>
  <xr:revisionPtr revIDLastSave="0" documentId="13_ncr:1_{FC6B5806-CD50-42C2-9922-BA1C0D72A0D1}" xr6:coauthVersionLast="45" xr6:coauthVersionMax="45" xr10:uidLastSave="{00000000-0000-0000-0000-000000000000}"/>
  <bookViews>
    <workbookView xWindow="-120" yWindow="-120" windowWidth="29040" windowHeight="15840" firstSheet="5" activeTab="10" xr2:uid="{00000000-000D-0000-FFFF-FFFF00000000}"/>
  </bookViews>
  <sheets>
    <sheet name="2" sheetId="1" r:id="rId1"/>
    <sheet name="3" sheetId="2" r:id="rId2"/>
    <sheet name="4" sheetId="3" r:id="rId3"/>
    <sheet name="5" sheetId="4" r:id="rId4"/>
    <sheet name="6" sheetId="5" r:id="rId5"/>
    <sheet name="7" sheetId="6" r:id="rId6"/>
    <sheet name="8" sheetId="7" r:id="rId7"/>
    <sheet name="9" sheetId="8" r:id="rId8"/>
    <sheet name="10" sheetId="9" r:id="rId9"/>
    <sheet name="11" sheetId="11" r:id="rId10"/>
    <sheet name="11original" sheetId="12" r:id="rId11"/>
    <sheet name="12" sheetId="13" r:id="rId12"/>
    <sheet name="13" sheetId="14" r:id="rId13"/>
    <sheet name="14" sheetId="15" r:id="rId14"/>
    <sheet name="15" sheetId="16" r:id="rId15"/>
    <sheet name="16" sheetId="17" r:id="rId16"/>
    <sheet name="17" sheetId="18" r:id="rId17"/>
  </sheets>
  <externalReferences>
    <externalReference r:id="rId18"/>
  </externalReferences>
  <definedNames>
    <definedName name="Fruits">"6!A1:F6"</definedName>
    <definedName name="NewnameFruitslocal" comment="Comment appear in Name Manager">'6'!$A$1:$F$6</definedName>
    <definedName name="tableH10J13">Table1[#All]</definedName>
    <definedName name="tableH1J8">'3'!$H$1:$J$8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02" i="11" l="1"/>
  <c r="G501" i="11"/>
  <c r="H501" i="11" s="1"/>
  <c r="E501" i="11"/>
  <c r="G500" i="11"/>
  <c r="H500" i="11" s="1"/>
  <c r="E500" i="11"/>
  <c r="G499" i="11"/>
  <c r="H499" i="11" s="1"/>
  <c r="E499" i="11"/>
  <c r="G498" i="11"/>
  <c r="H498" i="11" s="1"/>
  <c r="E498" i="11"/>
  <c r="G497" i="11"/>
  <c r="H497" i="11" s="1"/>
  <c r="E497" i="11"/>
  <c r="H496" i="11"/>
  <c r="G496" i="11"/>
  <c r="E496" i="11"/>
  <c r="G495" i="11"/>
  <c r="H495" i="11" s="1"/>
  <c r="E495" i="11"/>
  <c r="G494" i="11"/>
  <c r="H494" i="11" s="1"/>
  <c r="E494" i="11"/>
  <c r="G493" i="11"/>
  <c r="H493" i="11" s="1"/>
  <c r="E493" i="11"/>
  <c r="G492" i="11"/>
  <c r="H492" i="11" s="1"/>
  <c r="E492" i="11"/>
  <c r="G491" i="11"/>
  <c r="H491" i="11" s="1"/>
  <c r="E491" i="11"/>
  <c r="G490" i="11"/>
  <c r="H490" i="11" s="1"/>
  <c r="E490" i="11"/>
  <c r="G489" i="11"/>
  <c r="H489" i="11" s="1"/>
  <c r="E489" i="11"/>
  <c r="H488" i="11"/>
  <c r="G488" i="11"/>
  <c r="E488" i="11"/>
  <c r="G487" i="11"/>
  <c r="H487" i="11" s="1"/>
  <c r="E487" i="11"/>
  <c r="G486" i="11"/>
  <c r="H486" i="11" s="1"/>
  <c r="E486" i="11"/>
  <c r="H485" i="11"/>
  <c r="G485" i="11"/>
  <c r="E485" i="11"/>
  <c r="G484" i="11"/>
  <c r="H484" i="11" s="1"/>
  <c r="E484" i="11"/>
  <c r="G483" i="11"/>
  <c r="H483" i="11" s="1"/>
  <c r="E483" i="11"/>
  <c r="G482" i="11"/>
  <c r="H482" i="11" s="1"/>
  <c r="E482" i="11"/>
  <c r="G481" i="11"/>
  <c r="H481" i="11" s="1"/>
  <c r="E481" i="11"/>
  <c r="G480" i="11"/>
  <c r="H480" i="11" s="1"/>
  <c r="E480" i="11"/>
  <c r="G479" i="11"/>
  <c r="H479" i="11" s="1"/>
  <c r="E479" i="11"/>
  <c r="G478" i="11"/>
  <c r="H478" i="11" s="1"/>
  <c r="E478" i="11"/>
  <c r="G477" i="11"/>
  <c r="H477" i="11" s="1"/>
  <c r="E477" i="11"/>
  <c r="G476" i="11"/>
  <c r="H476" i="11" s="1"/>
  <c r="E476" i="11"/>
  <c r="G475" i="11"/>
  <c r="H475" i="11" s="1"/>
  <c r="E475" i="11"/>
  <c r="G474" i="11"/>
  <c r="H474" i="11" s="1"/>
  <c r="E474" i="11"/>
  <c r="G473" i="11"/>
  <c r="H473" i="11" s="1"/>
  <c r="E473" i="11"/>
  <c r="G472" i="11"/>
  <c r="H472" i="11" s="1"/>
  <c r="E472" i="11"/>
  <c r="G471" i="11"/>
  <c r="H471" i="11" s="1"/>
  <c r="E471" i="11"/>
  <c r="G470" i="11"/>
  <c r="H470" i="11" s="1"/>
  <c r="E470" i="11"/>
  <c r="H469" i="11"/>
  <c r="G469" i="11"/>
  <c r="E469" i="11"/>
  <c r="G468" i="11"/>
  <c r="H468" i="11" s="1"/>
  <c r="E468" i="11"/>
  <c r="G467" i="11"/>
  <c r="H467" i="11" s="1"/>
  <c r="E467" i="11"/>
  <c r="G466" i="11"/>
  <c r="H466" i="11" s="1"/>
  <c r="E466" i="11"/>
  <c r="G465" i="11"/>
  <c r="H465" i="11" s="1"/>
  <c r="E465" i="11"/>
  <c r="G464" i="11"/>
  <c r="H464" i="11" s="1"/>
  <c r="E464" i="11"/>
  <c r="G463" i="11"/>
  <c r="H463" i="11" s="1"/>
  <c r="E463" i="11"/>
  <c r="G462" i="11"/>
  <c r="H462" i="11" s="1"/>
  <c r="E462" i="11"/>
  <c r="G461" i="11"/>
  <c r="H461" i="11" s="1"/>
  <c r="E461" i="11"/>
  <c r="G460" i="11"/>
  <c r="H460" i="11" s="1"/>
  <c r="E460" i="11"/>
  <c r="G459" i="11"/>
  <c r="H459" i="11" s="1"/>
  <c r="E459" i="11"/>
  <c r="G458" i="11"/>
  <c r="H458" i="11" s="1"/>
  <c r="E458" i="11"/>
  <c r="G457" i="11"/>
  <c r="H457" i="11" s="1"/>
  <c r="E457" i="11"/>
  <c r="H456" i="11"/>
  <c r="G456" i="11"/>
  <c r="E456" i="11"/>
  <c r="G455" i="11"/>
  <c r="H455" i="11" s="1"/>
  <c r="E455" i="11"/>
  <c r="G454" i="11"/>
  <c r="H454" i="11" s="1"/>
  <c r="E454" i="11"/>
  <c r="G453" i="11"/>
  <c r="H453" i="11" s="1"/>
  <c r="E453" i="11"/>
  <c r="G452" i="11"/>
  <c r="H452" i="11" s="1"/>
  <c r="E452" i="11"/>
  <c r="G451" i="11"/>
  <c r="H451" i="11" s="1"/>
  <c r="E451" i="11"/>
  <c r="G450" i="11"/>
  <c r="H450" i="11" s="1"/>
  <c r="E450" i="11"/>
  <c r="G449" i="11"/>
  <c r="H449" i="11" s="1"/>
  <c r="E449" i="11"/>
  <c r="H448" i="11"/>
  <c r="G448" i="11"/>
  <c r="E448" i="11"/>
  <c r="G447" i="11"/>
  <c r="H447" i="11" s="1"/>
  <c r="E447" i="11"/>
  <c r="G446" i="11"/>
  <c r="H446" i="11" s="1"/>
  <c r="E446" i="11"/>
  <c r="G445" i="11"/>
  <c r="H445" i="11" s="1"/>
  <c r="E445" i="11"/>
  <c r="G444" i="11"/>
  <c r="H444" i="11" s="1"/>
  <c r="E444" i="11"/>
  <c r="G443" i="11"/>
  <c r="H443" i="11" s="1"/>
  <c r="E443" i="11"/>
  <c r="G442" i="11"/>
  <c r="H442" i="11" s="1"/>
  <c r="E442" i="11"/>
  <c r="H441" i="11"/>
  <c r="G441" i="11"/>
  <c r="E441" i="11"/>
  <c r="H440" i="11"/>
  <c r="G440" i="11"/>
  <c r="E440" i="11"/>
  <c r="G439" i="11"/>
  <c r="H439" i="11" s="1"/>
  <c r="E439" i="11"/>
  <c r="G438" i="11"/>
  <c r="H438" i="11" s="1"/>
  <c r="E438" i="11"/>
  <c r="H437" i="11"/>
  <c r="G437" i="11"/>
  <c r="E437" i="11"/>
  <c r="G436" i="11"/>
  <c r="H436" i="11" s="1"/>
  <c r="E436" i="11"/>
  <c r="G435" i="11"/>
  <c r="H435" i="11" s="1"/>
  <c r="E435" i="11"/>
  <c r="G434" i="11"/>
  <c r="H434" i="11" s="1"/>
  <c r="E434" i="11"/>
  <c r="G433" i="11"/>
  <c r="H433" i="11" s="1"/>
  <c r="E433" i="11"/>
  <c r="H432" i="11"/>
  <c r="G432" i="11"/>
  <c r="E432" i="11"/>
  <c r="G431" i="11"/>
  <c r="H431" i="11" s="1"/>
  <c r="E431" i="11"/>
  <c r="G430" i="11"/>
  <c r="H430" i="11" s="1"/>
  <c r="E430" i="11"/>
  <c r="H429" i="11"/>
  <c r="G429" i="11"/>
  <c r="E429" i="11"/>
  <c r="G428" i="11"/>
  <c r="H428" i="11" s="1"/>
  <c r="E428" i="11"/>
  <c r="G427" i="11"/>
  <c r="H427" i="11" s="1"/>
  <c r="E427" i="11"/>
  <c r="G426" i="11"/>
  <c r="H426" i="11" s="1"/>
  <c r="E426" i="11"/>
  <c r="G425" i="11"/>
  <c r="H425" i="11" s="1"/>
  <c r="E425" i="11"/>
  <c r="G424" i="11"/>
  <c r="H424" i="11" s="1"/>
  <c r="E424" i="11"/>
  <c r="G423" i="11"/>
  <c r="H423" i="11" s="1"/>
  <c r="E423" i="11"/>
  <c r="G422" i="11"/>
  <c r="H422" i="11" s="1"/>
  <c r="E422" i="11"/>
  <c r="H421" i="11"/>
  <c r="G421" i="11"/>
  <c r="E421" i="11"/>
  <c r="G420" i="11"/>
  <c r="H420" i="11" s="1"/>
  <c r="E420" i="11"/>
  <c r="G419" i="11"/>
  <c r="H419" i="11" s="1"/>
  <c r="E419" i="11"/>
  <c r="G418" i="11"/>
  <c r="H418" i="11" s="1"/>
  <c r="E418" i="11"/>
  <c r="G417" i="11"/>
  <c r="H417" i="11" s="1"/>
  <c r="E417" i="11"/>
  <c r="G416" i="11"/>
  <c r="H416" i="11" s="1"/>
  <c r="E416" i="11"/>
  <c r="G415" i="11"/>
  <c r="H415" i="11" s="1"/>
  <c r="E415" i="11"/>
  <c r="G414" i="11"/>
  <c r="H414" i="11" s="1"/>
  <c r="E414" i="11"/>
  <c r="G413" i="11"/>
  <c r="H413" i="11" s="1"/>
  <c r="E413" i="11"/>
  <c r="G412" i="11"/>
  <c r="H412" i="11" s="1"/>
  <c r="E412" i="11"/>
  <c r="G411" i="11"/>
  <c r="H411" i="11" s="1"/>
  <c r="E411" i="11"/>
  <c r="G410" i="11"/>
  <c r="H410" i="11" s="1"/>
  <c r="E410" i="11"/>
  <c r="G409" i="11"/>
  <c r="H409" i="11" s="1"/>
  <c r="E409" i="11"/>
  <c r="G408" i="11"/>
  <c r="H408" i="11" s="1"/>
  <c r="E408" i="11"/>
  <c r="G407" i="11"/>
  <c r="H407" i="11" s="1"/>
  <c r="E407" i="11"/>
  <c r="G406" i="11"/>
  <c r="H406" i="11" s="1"/>
  <c r="E406" i="11"/>
  <c r="G405" i="11"/>
  <c r="H405" i="11" s="1"/>
  <c r="E405" i="11"/>
  <c r="G404" i="11"/>
  <c r="H404" i="11" s="1"/>
  <c r="E404" i="11"/>
  <c r="G403" i="11"/>
  <c r="H403" i="11" s="1"/>
  <c r="E403" i="11"/>
  <c r="G402" i="11"/>
  <c r="H402" i="11" s="1"/>
  <c r="E402" i="11"/>
  <c r="G401" i="11"/>
  <c r="H401" i="11" s="1"/>
  <c r="E401" i="11"/>
  <c r="H400" i="11"/>
  <c r="G400" i="11"/>
  <c r="E400" i="11"/>
  <c r="G399" i="11"/>
  <c r="H399" i="11" s="1"/>
  <c r="E399" i="11"/>
  <c r="G398" i="11"/>
  <c r="H398" i="11" s="1"/>
  <c r="E398" i="11"/>
  <c r="G397" i="11"/>
  <c r="H397" i="11" s="1"/>
  <c r="E397" i="11"/>
  <c r="G396" i="11"/>
  <c r="H396" i="11" s="1"/>
  <c r="E396" i="11"/>
  <c r="G395" i="11"/>
  <c r="H395" i="11" s="1"/>
  <c r="E395" i="11"/>
  <c r="G394" i="11"/>
  <c r="H394" i="11" s="1"/>
  <c r="E394" i="11"/>
  <c r="H393" i="11"/>
  <c r="G393" i="11"/>
  <c r="E393" i="11"/>
  <c r="H392" i="11"/>
  <c r="G392" i="11"/>
  <c r="E392" i="11"/>
  <c r="G391" i="11"/>
  <c r="H391" i="11" s="1"/>
  <c r="E391" i="11"/>
  <c r="G390" i="11"/>
  <c r="H390" i="11" s="1"/>
  <c r="E390" i="11"/>
  <c r="G389" i="11"/>
  <c r="H389" i="11" s="1"/>
  <c r="E389" i="11"/>
  <c r="G388" i="11"/>
  <c r="H388" i="11" s="1"/>
  <c r="E388" i="11"/>
  <c r="G387" i="11"/>
  <c r="H387" i="11" s="1"/>
  <c r="E387" i="11"/>
  <c r="G386" i="11"/>
  <c r="H386" i="11" s="1"/>
  <c r="E386" i="11"/>
  <c r="H385" i="11"/>
  <c r="G385" i="11"/>
  <c r="E385" i="11"/>
  <c r="H384" i="11"/>
  <c r="G384" i="11"/>
  <c r="E384" i="11"/>
  <c r="G383" i="11"/>
  <c r="H383" i="11" s="1"/>
  <c r="E383" i="11"/>
  <c r="G382" i="11"/>
  <c r="H382" i="11" s="1"/>
  <c r="E382" i="11"/>
  <c r="G381" i="11"/>
  <c r="H381" i="11" s="1"/>
  <c r="E381" i="11"/>
  <c r="G380" i="11"/>
  <c r="H380" i="11" s="1"/>
  <c r="E380" i="11"/>
  <c r="G379" i="11"/>
  <c r="H379" i="11" s="1"/>
  <c r="E379" i="11"/>
  <c r="G378" i="11"/>
  <c r="H378" i="11" s="1"/>
  <c r="E378" i="11"/>
  <c r="H377" i="11"/>
  <c r="G377" i="11"/>
  <c r="E377" i="11"/>
  <c r="G376" i="11"/>
  <c r="H376" i="11" s="1"/>
  <c r="E376" i="11"/>
  <c r="G375" i="11"/>
  <c r="H375" i="11" s="1"/>
  <c r="E375" i="11"/>
  <c r="G374" i="11"/>
  <c r="H374" i="11" s="1"/>
  <c r="E374" i="11"/>
  <c r="H373" i="11"/>
  <c r="G373" i="11"/>
  <c r="E373" i="11"/>
  <c r="G372" i="11"/>
  <c r="H372" i="11" s="1"/>
  <c r="E372" i="11"/>
  <c r="G371" i="11"/>
  <c r="H371" i="11" s="1"/>
  <c r="E371" i="11"/>
  <c r="G370" i="11"/>
  <c r="H370" i="11" s="1"/>
  <c r="E370" i="11"/>
  <c r="G369" i="11"/>
  <c r="H369" i="11" s="1"/>
  <c r="E369" i="11"/>
  <c r="G368" i="11"/>
  <c r="H368" i="11" s="1"/>
  <c r="E368" i="11"/>
  <c r="G367" i="11"/>
  <c r="H367" i="11" s="1"/>
  <c r="E367" i="11"/>
  <c r="G366" i="11"/>
  <c r="H366" i="11" s="1"/>
  <c r="E366" i="11"/>
  <c r="H365" i="11"/>
  <c r="G365" i="11"/>
  <c r="E365" i="11"/>
  <c r="G364" i="11"/>
  <c r="H364" i="11" s="1"/>
  <c r="E364" i="11"/>
  <c r="G363" i="11"/>
  <c r="H363" i="11" s="1"/>
  <c r="E363" i="11"/>
  <c r="G362" i="11"/>
  <c r="H362" i="11" s="1"/>
  <c r="E362" i="11"/>
  <c r="G361" i="11"/>
  <c r="H361" i="11" s="1"/>
  <c r="E361" i="11"/>
  <c r="G360" i="11"/>
  <c r="H360" i="11" s="1"/>
  <c r="E360" i="11"/>
  <c r="G359" i="11"/>
  <c r="H359" i="11" s="1"/>
  <c r="E359" i="11"/>
  <c r="G358" i="11"/>
  <c r="H358" i="11" s="1"/>
  <c r="E358" i="11"/>
  <c r="H357" i="11"/>
  <c r="G357" i="11"/>
  <c r="E357" i="11"/>
  <c r="G356" i="11"/>
  <c r="H356" i="11" s="1"/>
  <c r="E356" i="11"/>
  <c r="G355" i="11"/>
  <c r="H355" i="11" s="1"/>
  <c r="E355" i="11"/>
  <c r="G354" i="11"/>
  <c r="H354" i="11" s="1"/>
  <c r="E354" i="11"/>
  <c r="G353" i="11"/>
  <c r="H353" i="11" s="1"/>
  <c r="E353" i="11"/>
  <c r="G352" i="11"/>
  <c r="H352" i="11" s="1"/>
  <c r="E352" i="11"/>
  <c r="G351" i="11"/>
  <c r="H351" i="11" s="1"/>
  <c r="E351" i="11"/>
  <c r="G350" i="11"/>
  <c r="H350" i="11" s="1"/>
  <c r="E350" i="11"/>
  <c r="G349" i="11"/>
  <c r="H349" i="11" s="1"/>
  <c r="E349" i="11"/>
  <c r="G348" i="11"/>
  <c r="H348" i="11" s="1"/>
  <c r="E348" i="11"/>
  <c r="G347" i="11"/>
  <c r="H347" i="11" s="1"/>
  <c r="E347" i="11"/>
  <c r="G346" i="11"/>
  <c r="H346" i="11" s="1"/>
  <c r="E346" i="11"/>
  <c r="G345" i="11"/>
  <c r="H345" i="11" s="1"/>
  <c r="E345" i="11"/>
  <c r="G344" i="11"/>
  <c r="H344" i="11" s="1"/>
  <c r="E344" i="11"/>
  <c r="G343" i="11"/>
  <c r="H343" i="11" s="1"/>
  <c r="E343" i="11"/>
  <c r="G342" i="11"/>
  <c r="H342" i="11" s="1"/>
  <c r="E342" i="11"/>
  <c r="G341" i="11"/>
  <c r="H341" i="11" s="1"/>
  <c r="E341" i="11"/>
  <c r="G340" i="11"/>
  <c r="H340" i="11" s="1"/>
  <c r="E340" i="11"/>
  <c r="G339" i="11"/>
  <c r="H339" i="11" s="1"/>
  <c r="E339" i="11"/>
  <c r="G338" i="11"/>
  <c r="H338" i="11" s="1"/>
  <c r="E338" i="11"/>
  <c r="G337" i="11"/>
  <c r="H337" i="11" s="1"/>
  <c r="E337" i="11"/>
  <c r="H336" i="11"/>
  <c r="G336" i="11"/>
  <c r="E336" i="11"/>
  <c r="G335" i="11"/>
  <c r="H335" i="11" s="1"/>
  <c r="E335" i="11"/>
  <c r="G334" i="11"/>
  <c r="H334" i="11" s="1"/>
  <c r="E334" i="11"/>
  <c r="G333" i="11"/>
  <c r="H333" i="11" s="1"/>
  <c r="E333" i="11"/>
  <c r="G332" i="11"/>
  <c r="H332" i="11" s="1"/>
  <c r="E332" i="11"/>
  <c r="G331" i="11"/>
  <c r="H331" i="11" s="1"/>
  <c r="E331" i="11"/>
  <c r="G330" i="11"/>
  <c r="H330" i="11" s="1"/>
  <c r="E330" i="11"/>
  <c r="H329" i="11"/>
  <c r="G329" i="11"/>
  <c r="E329" i="11"/>
  <c r="H328" i="11"/>
  <c r="G328" i="11"/>
  <c r="E328" i="11"/>
  <c r="G327" i="11"/>
  <c r="H327" i="11" s="1"/>
  <c r="E327" i="11"/>
  <c r="G326" i="11"/>
  <c r="H326" i="11" s="1"/>
  <c r="E326" i="11"/>
  <c r="G325" i="11"/>
  <c r="H325" i="11" s="1"/>
  <c r="E325" i="11"/>
  <c r="G324" i="11"/>
  <c r="H324" i="11" s="1"/>
  <c r="E324" i="11"/>
  <c r="G323" i="11"/>
  <c r="H323" i="11" s="1"/>
  <c r="E323" i="11"/>
  <c r="G322" i="11"/>
  <c r="H322" i="11" s="1"/>
  <c r="E322" i="11"/>
  <c r="H321" i="11"/>
  <c r="G321" i="11"/>
  <c r="E321" i="11"/>
  <c r="H320" i="11"/>
  <c r="G320" i="11"/>
  <c r="E320" i="11"/>
  <c r="G319" i="11"/>
  <c r="H319" i="11" s="1"/>
  <c r="E319" i="11"/>
  <c r="G318" i="11"/>
  <c r="H318" i="11" s="1"/>
  <c r="E318" i="11"/>
  <c r="G317" i="11"/>
  <c r="H317" i="11" s="1"/>
  <c r="E317" i="11"/>
  <c r="G316" i="11"/>
  <c r="H316" i="11" s="1"/>
  <c r="E316" i="11"/>
  <c r="G315" i="11"/>
  <c r="H315" i="11" s="1"/>
  <c r="E315" i="11"/>
  <c r="G314" i="11"/>
  <c r="H314" i="11" s="1"/>
  <c r="E314" i="11"/>
  <c r="H313" i="11"/>
  <c r="G313" i="11"/>
  <c r="E313" i="11"/>
  <c r="G312" i="11"/>
  <c r="H312" i="11" s="1"/>
  <c r="E312" i="11"/>
  <c r="G311" i="11"/>
  <c r="H311" i="11" s="1"/>
  <c r="E311" i="11"/>
  <c r="G310" i="11"/>
  <c r="H310" i="11" s="1"/>
  <c r="E310" i="11"/>
  <c r="H309" i="11"/>
  <c r="G309" i="11"/>
  <c r="E309" i="11"/>
  <c r="G308" i="11"/>
  <c r="H308" i="11" s="1"/>
  <c r="E308" i="11"/>
  <c r="G307" i="11"/>
  <c r="H307" i="11" s="1"/>
  <c r="E307" i="11"/>
  <c r="G306" i="11"/>
  <c r="H306" i="11" s="1"/>
  <c r="E306" i="11"/>
  <c r="G305" i="11"/>
  <c r="H305" i="11" s="1"/>
  <c r="E305" i="11"/>
  <c r="G304" i="11"/>
  <c r="H304" i="11" s="1"/>
  <c r="E304" i="11"/>
  <c r="G303" i="11"/>
  <c r="H303" i="11" s="1"/>
  <c r="E303" i="11"/>
  <c r="G302" i="11"/>
  <c r="H302" i="11" s="1"/>
  <c r="E302" i="11"/>
  <c r="H301" i="11"/>
  <c r="G301" i="11"/>
  <c r="E301" i="11"/>
  <c r="G300" i="11"/>
  <c r="H300" i="11" s="1"/>
  <c r="E300" i="11"/>
  <c r="G299" i="11"/>
  <c r="H299" i="11" s="1"/>
  <c r="E299" i="11"/>
  <c r="G298" i="11"/>
  <c r="H298" i="11" s="1"/>
  <c r="E298" i="11"/>
  <c r="G297" i="11"/>
  <c r="H297" i="11" s="1"/>
  <c r="E297" i="11"/>
  <c r="H296" i="11"/>
  <c r="G296" i="11"/>
  <c r="E296" i="11"/>
  <c r="G295" i="11"/>
  <c r="H295" i="11" s="1"/>
  <c r="E295" i="11"/>
  <c r="G294" i="11"/>
  <c r="H294" i="11" s="1"/>
  <c r="E294" i="11"/>
  <c r="H293" i="11"/>
  <c r="G293" i="11"/>
  <c r="E293" i="11"/>
  <c r="G292" i="11"/>
  <c r="H292" i="11" s="1"/>
  <c r="E292" i="11"/>
  <c r="G291" i="11"/>
  <c r="H291" i="11" s="1"/>
  <c r="E291" i="11"/>
  <c r="G290" i="11"/>
  <c r="H290" i="11" s="1"/>
  <c r="E290" i="11"/>
  <c r="G289" i="11"/>
  <c r="H289" i="11" s="1"/>
  <c r="E289" i="11"/>
  <c r="G288" i="11"/>
  <c r="H288" i="11" s="1"/>
  <c r="E288" i="11"/>
  <c r="G287" i="11"/>
  <c r="H287" i="11" s="1"/>
  <c r="E287" i="11"/>
  <c r="G286" i="11"/>
  <c r="H286" i="11" s="1"/>
  <c r="E286" i="11"/>
  <c r="G285" i="11"/>
  <c r="H285" i="11" s="1"/>
  <c r="E285" i="11"/>
  <c r="G284" i="11"/>
  <c r="H284" i="11" s="1"/>
  <c r="E284" i="11"/>
  <c r="G283" i="11"/>
  <c r="H283" i="11" s="1"/>
  <c r="E283" i="11"/>
  <c r="G282" i="11"/>
  <c r="H282" i="11" s="1"/>
  <c r="E282" i="11"/>
  <c r="G281" i="11"/>
  <c r="H281" i="11" s="1"/>
  <c r="E281" i="11"/>
  <c r="G280" i="11"/>
  <c r="H280" i="11" s="1"/>
  <c r="E280" i="11"/>
  <c r="G279" i="11"/>
  <c r="H279" i="11" s="1"/>
  <c r="E279" i="11"/>
  <c r="G278" i="11"/>
  <c r="H278" i="11" s="1"/>
  <c r="E278" i="11"/>
  <c r="G277" i="11"/>
  <c r="H277" i="11" s="1"/>
  <c r="E277" i="11"/>
  <c r="G276" i="11"/>
  <c r="H276" i="11" s="1"/>
  <c r="E276" i="11"/>
  <c r="G275" i="11"/>
  <c r="H275" i="11" s="1"/>
  <c r="E275" i="11"/>
  <c r="G274" i="11"/>
  <c r="H274" i="11" s="1"/>
  <c r="E274" i="11"/>
  <c r="G273" i="11"/>
  <c r="H273" i="11" s="1"/>
  <c r="E273" i="11"/>
  <c r="H272" i="11"/>
  <c r="G272" i="11"/>
  <c r="E272" i="11"/>
  <c r="G271" i="11"/>
  <c r="H271" i="11" s="1"/>
  <c r="E271" i="11"/>
  <c r="G270" i="11"/>
  <c r="H270" i="11" s="1"/>
  <c r="E270" i="11"/>
  <c r="H269" i="11"/>
  <c r="G269" i="11"/>
  <c r="E269" i="11"/>
  <c r="G268" i="11"/>
  <c r="H268" i="11" s="1"/>
  <c r="E268" i="11"/>
  <c r="G267" i="11"/>
  <c r="H267" i="11" s="1"/>
  <c r="E267" i="11"/>
  <c r="G266" i="11"/>
  <c r="H266" i="11" s="1"/>
  <c r="E266" i="11"/>
  <c r="G265" i="11"/>
  <c r="H265" i="11" s="1"/>
  <c r="E265" i="11"/>
  <c r="H264" i="11"/>
  <c r="G264" i="11"/>
  <c r="E264" i="11"/>
  <c r="G263" i="11"/>
  <c r="H263" i="11" s="1"/>
  <c r="E263" i="11"/>
  <c r="G262" i="11"/>
  <c r="H262" i="11" s="1"/>
  <c r="E262" i="11"/>
  <c r="G261" i="11"/>
  <c r="H261" i="11" s="1"/>
  <c r="E261" i="11"/>
  <c r="G260" i="11"/>
  <c r="H260" i="11" s="1"/>
  <c r="E260" i="11"/>
  <c r="G259" i="11"/>
  <c r="H259" i="11" s="1"/>
  <c r="E259" i="11"/>
  <c r="G258" i="11"/>
  <c r="H258" i="11" s="1"/>
  <c r="E258" i="11"/>
  <c r="H257" i="11"/>
  <c r="G257" i="11"/>
  <c r="E257" i="11"/>
  <c r="H256" i="11"/>
  <c r="G256" i="11"/>
  <c r="E256" i="11"/>
  <c r="G255" i="11"/>
  <c r="H255" i="11" s="1"/>
  <c r="E255" i="11"/>
  <c r="G254" i="11"/>
  <c r="H254" i="11" s="1"/>
  <c r="E254" i="11"/>
  <c r="G253" i="11"/>
  <c r="H253" i="11" s="1"/>
  <c r="E253" i="11"/>
  <c r="G252" i="11"/>
  <c r="H252" i="11" s="1"/>
  <c r="E252" i="11"/>
  <c r="G251" i="11"/>
  <c r="H251" i="11" s="1"/>
  <c r="E251" i="11"/>
  <c r="G250" i="11"/>
  <c r="H250" i="11" s="1"/>
  <c r="E250" i="11"/>
  <c r="H249" i="11"/>
  <c r="G249" i="11"/>
  <c r="E249" i="11"/>
  <c r="H248" i="11"/>
  <c r="G248" i="11"/>
  <c r="E248" i="11"/>
  <c r="G247" i="11"/>
  <c r="H247" i="11" s="1"/>
  <c r="E247" i="11"/>
  <c r="G246" i="11"/>
  <c r="H246" i="11" s="1"/>
  <c r="E246" i="11"/>
  <c r="G245" i="11"/>
  <c r="H245" i="11" s="1"/>
  <c r="E245" i="11"/>
  <c r="G244" i="11"/>
  <c r="H244" i="11" s="1"/>
  <c r="E244" i="11"/>
  <c r="G243" i="11"/>
  <c r="H243" i="11" s="1"/>
  <c r="E243" i="11"/>
  <c r="G242" i="11"/>
  <c r="H242" i="11" s="1"/>
  <c r="E242" i="11"/>
  <c r="H241" i="11"/>
  <c r="G241" i="11"/>
  <c r="E241" i="11"/>
  <c r="H240" i="11"/>
  <c r="G240" i="11"/>
  <c r="E240" i="11"/>
  <c r="G239" i="11"/>
  <c r="H239" i="11" s="1"/>
  <c r="E239" i="11"/>
  <c r="G238" i="11"/>
  <c r="H238" i="11" s="1"/>
  <c r="E238" i="11"/>
  <c r="H237" i="11"/>
  <c r="G237" i="11"/>
  <c r="E237" i="11"/>
  <c r="G236" i="11"/>
  <c r="H236" i="11" s="1"/>
  <c r="E236" i="11"/>
  <c r="G235" i="11"/>
  <c r="H235" i="11" s="1"/>
  <c r="E235" i="11"/>
  <c r="G234" i="11"/>
  <c r="H234" i="11" s="1"/>
  <c r="E234" i="11"/>
  <c r="H233" i="11"/>
  <c r="G233" i="11"/>
  <c r="E233" i="11"/>
  <c r="H232" i="11"/>
  <c r="G232" i="11"/>
  <c r="E232" i="11"/>
  <c r="G231" i="11"/>
  <c r="H231" i="11" s="1"/>
  <c r="E231" i="11"/>
  <c r="G230" i="11"/>
  <c r="H230" i="11" s="1"/>
  <c r="E230" i="11"/>
  <c r="H229" i="11"/>
  <c r="G229" i="11"/>
  <c r="E229" i="11"/>
  <c r="G228" i="11"/>
  <c r="H228" i="11" s="1"/>
  <c r="E228" i="11"/>
  <c r="G227" i="11"/>
  <c r="H227" i="11" s="1"/>
  <c r="E227" i="11"/>
  <c r="G226" i="11"/>
  <c r="H226" i="11" s="1"/>
  <c r="E226" i="11"/>
  <c r="G225" i="11"/>
  <c r="H225" i="11" s="1"/>
  <c r="E225" i="11"/>
  <c r="G224" i="11"/>
  <c r="H224" i="11" s="1"/>
  <c r="E224" i="11"/>
  <c r="G223" i="11"/>
  <c r="H223" i="11" s="1"/>
  <c r="E223" i="11"/>
  <c r="G222" i="11"/>
  <c r="H222" i="11" s="1"/>
  <c r="E222" i="11"/>
  <c r="H221" i="11"/>
  <c r="G221" i="11"/>
  <c r="E221" i="11"/>
  <c r="G220" i="11"/>
  <c r="H220" i="11" s="1"/>
  <c r="E220" i="11"/>
  <c r="G219" i="11"/>
  <c r="H219" i="11" s="1"/>
  <c r="E219" i="11"/>
  <c r="G218" i="11"/>
  <c r="H218" i="11" s="1"/>
  <c r="E218" i="11"/>
  <c r="G217" i="11"/>
  <c r="H217" i="11" s="1"/>
  <c r="E217" i="11"/>
  <c r="G216" i="11"/>
  <c r="H216" i="11" s="1"/>
  <c r="E216" i="11"/>
  <c r="G215" i="11"/>
  <c r="H215" i="11" s="1"/>
  <c r="E215" i="11"/>
  <c r="G214" i="11"/>
  <c r="H214" i="11" s="1"/>
  <c r="E214" i="11"/>
  <c r="H213" i="11"/>
  <c r="G213" i="11"/>
  <c r="E213" i="11"/>
  <c r="G212" i="11"/>
  <c r="H212" i="11" s="1"/>
  <c r="E212" i="11"/>
  <c r="G211" i="11"/>
  <c r="H211" i="11" s="1"/>
  <c r="E211" i="11"/>
  <c r="G210" i="11"/>
  <c r="H210" i="11" s="1"/>
  <c r="E210" i="11"/>
  <c r="G209" i="11"/>
  <c r="H209" i="11" s="1"/>
  <c r="E209" i="11"/>
  <c r="G208" i="11"/>
  <c r="H208" i="11" s="1"/>
  <c r="E208" i="11"/>
  <c r="G207" i="11"/>
  <c r="H207" i="11" s="1"/>
  <c r="E207" i="11"/>
  <c r="G206" i="11"/>
  <c r="H206" i="11" s="1"/>
  <c r="E206" i="11"/>
  <c r="H205" i="11"/>
  <c r="G205" i="11"/>
  <c r="E205" i="11"/>
  <c r="G204" i="11"/>
  <c r="H204" i="11" s="1"/>
  <c r="E204" i="11"/>
  <c r="G203" i="11"/>
  <c r="H203" i="11" s="1"/>
  <c r="E203" i="11"/>
  <c r="G202" i="11"/>
  <c r="H202" i="11" s="1"/>
  <c r="E202" i="11"/>
  <c r="G201" i="11"/>
  <c r="H201" i="11" s="1"/>
  <c r="E201" i="11"/>
  <c r="G200" i="11"/>
  <c r="H200" i="11" s="1"/>
  <c r="E200" i="11"/>
  <c r="G199" i="11"/>
  <c r="H199" i="11" s="1"/>
  <c r="E199" i="11"/>
  <c r="G198" i="11"/>
  <c r="H198" i="11" s="1"/>
  <c r="E198" i="11"/>
  <c r="H197" i="11"/>
  <c r="G197" i="11"/>
  <c r="E197" i="11"/>
  <c r="G196" i="11"/>
  <c r="H196" i="11" s="1"/>
  <c r="E196" i="11"/>
  <c r="H195" i="11"/>
  <c r="G195" i="11"/>
  <c r="E195" i="11"/>
  <c r="G194" i="11"/>
  <c r="H194" i="11" s="1"/>
  <c r="E194" i="11"/>
  <c r="H193" i="11"/>
  <c r="G193" i="11"/>
  <c r="E193" i="11"/>
  <c r="H192" i="11"/>
  <c r="G192" i="11"/>
  <c r="E192" i="11"/>
  <c r="G191" i="11"/>
  <c r="H191" i="11" s="1"/>
  <c r="E191" i="11"/>
  <c r="G190" i="11"/>
  <c r="H190" i="11" s="1"/>
  <c r="E190" i="11"/>
  <c r="G189" i="11"/>
  <c r="H189" i="11" s="1"/>
  <c r="E189" i="11"/>
  <c r="G188" i="11"/>
  <c r="H188" i="11" s="1"/>
  <c r="E188" i="11"/>
  <c r="G187" i="11"/>
  <c r="H187" i="11" s="1"/>
  <c r="E187" i="11"/>
  <c r="G186" i="11"/>
  <c r="H186" i="11" s="1"/>
  <c r="E186" i="11"/>
  <c r="H185" i="11"/>
  <c r="G185" i="11"/>
  <c r="E185" i="11"/>
  <c r="G184" i="11"/>
  <c r="H184" i="11" s="1"/>
  <c r="E184" i="11"/>
  <c r="G183" i="11"/>
  <c r="H183" i="11" s="1"/>
  <c r="E183" i="11"/>
  <c r="G182" i="11"/>
  <c r="H182" i="11" s="1"/>
  <c r="E182" i="11"/>
  <c r="H181" i="11"/>
  <c r="G181" i="11"/>
  <c r="E181" i="11"/>
  <c r="G180" i="11"/>
  <c r="H180" i="11" s="1"/>
  <c r="E180" i="11"/>
  <c r="H179" i="11"/>
  <c r="G179" i="11"/>
  <c r="E179" i="11"/>
  <c r="G178" i="11"/>
  <c r="H178" i="11" s="1"/>
  <c r="E178" i="11"/>
  <c r="H177" i="11"/>
  <c r="G177" i="11"/>
  <c r="E177" i="11"/>
  <c r="H176" i="11"/>
  <c r="G176" i="11"/>
  <c r="E176" i="11"/>
  <c r="G175" i="11"/>
  <c r="H175" i="11" s="1"/>
  <c r="E175" i="11"/>
  <c r="G174" i="11"/>
  <c r="H174" i="11" s="1"/>
  <c r="E174" i="11"/>
  <c r="H173" i="11"/>
  <c r="G173" i="11"/>
  <c r="E173" i="11"/>
  <c r="G172" i="11"/>
  <c r="H172" i="11" s="1"/>
  <c r="E172" i="11"/>
  <c r="G171" i="11"/>
  <c r="H171" i="11" s="1"/>
  <c r="E171" i="11"/>
  <c r="G170" i="11"/>
  <c r="H170" i="11" s="1"/>
  <c r="E170" i="11"/>
  <c r="G169" i="11"/>
  <c r="H169" i="11" s="1"/>
  <c r="E169" i="11"/>
  <c r="G168" i="11"/>
  <c r="H168" i="11" s="1"/>
  <c r="E168" i="11"/>
  <c r="G167" i="11"/>
  <c r="H167" i="11" s="1"/>
  <c r="E167" i="11"/>
  <c r="G166" i="11"/>
  <c r="H166" i="11" s="1"/>
  <c r="E166" i="11"/>
  <c r="G165" i="11"/>
  <c r="H165" i="11" s="1"/>
  <c r="E165" i="11"/>
  <c r="G164" i="11"/>
  <c r="H164" i="11" s="1"/>
  <c r="E164" i="11"/>
  <c r="G163" i="11"/>
  <c r="H163" i="11" s="1"/>
  <c r="E163" i="11"/>
  <c r="G162" i="11"/>
  <c r="H162" i="11" s="1"/>
  <c r="E162" i="11"/>
  <c r="G161" i="11"/>
  <c r="H161" i="11" s="1"/>
  <c r="E161" i="11"/>
  <c r="H160" i="11"/>
  <c r="G160" i="11"/>
  <c r="E160" i="11"/>
  <c r="G159" i="11"/>
  <c r="H159" i="11" s="1"/>
  <c r="E159" i="11"/>
  <c r="G158" i="11"/>
  <c r="H158" i="11" s="1"/>
  <c r="E158" i="11"/>
  <c r="G157" i="11"/>
  <c r="H157" i="11" s="1"/>
  <c r="E157" i="11"/>
  <c r="G156" i="11"/>
  <c r="H156" i="11" s="1"/>
  <c r="E156" i="11"/>
  <c r="G155" i="11"/>
  <c r="H155" i="11" s="1"/>
  <c r="E155" i="11"/>
  <c r="G154" i="11"/>
  <c r="H154" i="11" s="1"/>
  <c r="E154" i="11"/>
  <c r="G153" i="11"/>
  <c r="H153" i="11" s="1"/>
  <c r="E153" i="11"/>
  <c r="H152" i="11"/>
  <c r="G152" i="11"/>
  <c r="E152" i="11"/>
  <c r="G151" i="11"/>
  <c r="H151" i="11" s="1"/>
  <c r="E151" i="11"/>
  <c r="G150" i="11"/>
  <c r="H150" i="11" s="1"/>
  <c r="E150" i="11"/>
  <c r="G149" i="11"/>
  <c r="H149" i="11" s="1"/>
  <c r="E149" i="11"/>
  <c r="H148" i="11"/>
  <c r="G148" i="11"/>
  <c r="E148" i="11"/>
  <c r="G147" i="11"/>
  <c r="H147" i="11" s="1"/>
  <c r="E147" i="11"/>
  <c r="G146" i="11"/>
  <c r="H146" i="11" s="1"/>
  <c r="E146" i="11"/>
  <c r="G145" i="11"/>
  <c r="H145" i="11" s="1"/>
  <c r="E145" i="11"/>
  <c r="G144" i="11"/>
  <c r="H144" i="11" s="1"/>
  <c r="E144" i="11"/>
  <c r="G143" i="11"/>
  <c r="H143" i="11" s="1"/>
  <c r="E143" i="11"/>
  <c r="G142" i="11"/>
  <c r="H142" i="11" s="1"/>
  <c r="E142" i="11"/>
  <c r="G141" i="11"/>
  <c r="H141" i="11" s="1"/>
  <c r="E141" i="11"/>
  <c r="H140" i="11"/>
  <c r="G140" i="11"/>
  <c r="E140" i="11"/>
  <c r="G139" i="11"/>
  <c r="H139" i="11" s="1"/>
  <c r="E139" i="11"/>
  <c r="G138" i="11"/>
  <c r="H138" i="11" s="1"/>
  <c r="E138" i="11"/>
  <c r="G137" i="11"/>
  <c r="H137" i="11" s="1"/>
  <c r="E137" i="11"/>
  <c r="G136" i="11"/>
  <c r="H136" i="11" s="1"/>
  <c r="E136" i="11"/>
  <c r="G135" i="11"/>
  <c r="H135" i="11" s="1"/>
  <c r="E135" i="11"/>
  <c r="G134" i="11"/>
  <c r="H134" i="11" s="1"/>
  <c r="E134" i="11"/>
  <c r="G133" i="11"/>
  <c r="H133" i="11" s="1"/>
  <c r="E133" i="11"/>
  <c r="G132" i="11"/>
  <c r="H132" i="11" s="1"/>
  <c r="E132" i="11"/>
  <c r="G131" i="11"/>
  <c r="H131" i="11" s="1"/>
  <c r="E131" i="11"/>
  <c r="G130" i="11"/>
  <c r="H130" i="11" s="1"/>
  <c r="E130" i="11"/>
  <c r="G129" i="11"/>
  <c r="H129" i="11" s="1"/>
  <c r="E129" i="11"/>
  <c r="H128" i="11"/>
  <c r="G128" i="11"/>
  <c r="E128" i="11"/>
  <c r="G127" i="11"/>
  <c r="H127" i="11" s="1"/>
  <c r="E127" i="11"/>
  <c r="G126" i="11"/>
  <c r="H126" i="11" s="1"/>
  <c r="E126" i="11"/>
  <c r="G125" i="11"/>
  <c r="H125" i="11" s="1"/>
  <c r="E125" i="11"/>
  <c r="G124" i="11"/>
  <c r="H124" i="11" s="1"/>
  <c r="E124" i="11"/>
  <c r="G123" i="11"/>
  <c r="H123" i="11" s="1"/>
  <c r="E123" i="11"/>
  <c r="G122" i="11"/>
  <c r="H122" i="11" s="1"/>
  <c r="E122" i="11"/>
  <c r="G121" i="11"/>
  <c r="H121" i="11" s="1"/>
  <c r="E121" i="11"/>
  <c r="H120" i="11"/>
  <c r="G120" i="11"/>
  <c r="E120" i="11"/>
  <c r="G119" i="11"/>
  <c r="H119" i="11" s="1"/>
  <c r="E119" i="11"/>
  <c r="G118" i="11"/>
  <c r="H118" i="11" s="1"/>
  <c r="E118" i="11"/>
  <c r="G117" i="11"/>
  <c r="H117" i="11" s="1"/>
  <c r="E117" i="11"/>
  <c r="H116" i="11"/>
  <c r="G116" i="11"/>
  <c r="E116" i="11"/>
  <c r="G115" i="11"/>
  <c r="H115" i="11" s="1"/>
  <c r="E115" i="11"/>
  <c r="G114" i="11"/>
  <c r="H114" i="11" s="1"/>
  <c r="E114" i="11"/>
  <c r="G113" i="11"/>
  <c r="H113" i="11" s="1"/>
  <c r="E113" i="11"/>
  <c r="G112" i="11"/>
  <c r="H112" i="11" s="1"/>
  <c r="E112" i="11"/>
  <c r="G111" i="11"/>
  <c r="H111" i="11" s="1"/>
  <c r="E111" i="11"/>
  <c r="G110" i="11"/>
  <c r="H110" i="11" s="1"/>
  <c r="E110" i="11"/>
  <c r="G109" i="11"/>
  <c r="H109" i="11" s="1"/>
  <c r="E109" i="11"/>
  <c r="H108" i="11"/>
  <c r="G108" i="11"/>
  <c r="E108" i="11"/>
  <c r="G107" i="11"/>
  <c r="H107" i="11" s="1"/>
  <c r="E107" i="11"/>
  <c r="G106" i="11"/>
  <c r="H106" i="11" s="1"/>
  <c r="E106" i="11"/>
  <c r="G105" i="11"/>
  <c r="H105" i="11" s="1"/>
  <c r="E105" i="11"/>
  <c r="G104" i="11"/>
  <c r="H104" i="11" s="1"/>
  <c r="E104" i="11"/>
  <c r="G103" i="11"/>
  <c r="H103" i="11" s="1"/>
  <c r="E103" i="11"/>
  <c r="G102" i="11"/>
  <c r="H102" i="11" s="1"/>
  <c r="E102" i="11"/>
  <c r="G101" i="11"/>
  <c r="H101" i="11" s="1"/>
  <c r="E101" i="11"/>
  <c r="H100" i="11"/>
  <c r="G100" i="11"/>
  <c r="E100" i="11"/>
  <c r="G99" i="11"/>
  <c r="H99" i="11" s="1"/>
  <c r="E99" i="11"/>
  <c r="G98" i="11"/>
  <c r="H98" i="11" s="1"/>
  <c r="E98" i="11"/>
  <c r="G97" i="11"/>
  <c r="H97" i="11" s="1"/>
  <c r="E97" i="11"/>
  <c r="H96" i="11"/>
  <c r="G96" i="11"/>
  <c r="E96" i="11"/>
  <c r="G95" i="11"/>
  <c r="H95" i="11" s="1"/>
  <c r="E95" i="11"/>
  <c r="G94" i="11"/>
  <c r="H94" i="11" s="1"/>
  <c r="E94" i="11"/>
  <c r="G93" i="11"/>
  <c r="H93" i="11" s="1"/>
  <c r="E93" i="11"/>
  <c r="G92" i="11"/>
  <c r="H92" i="11" s="1"/>
  <c r="E92" i="11"/>
  <c r="G91" i="11"/>
  <c r="H91" i="11" s="1"/>
  <c r="E91" i="11"/>
  <c r="G90" i="11"/>
  <c r="H90" i="11" s="1"/>
  <c r="E90" i="11"/>
  <c r="G89" i="11"/>
  <c r="H89" i="11" s="1"/>
  <c r="E89" i="11"/>
  <c r="H88" i="11"/>
  <c r="G88" i="11"/>
  <c r="E88" i="11"/>
  <c r="G87" i="11"/>
  <c r="H87" i="11" s="1"/>
  <c r="E87" i="11"/>
  <c r="G86" i="11"/>
  <c r="H86" i="11" s="1"/>
  <c r="E86" i="11"/>
  <c r="G85" i="11"/>
  <c r="H85" i="11" s="1"/>
  <c r="E85" i="11"/>
  <c r="H84" i="11"/>
  <c r="G84" i="11"/>
  <c r="E84" i="11"/>
  <c r="G83" i="11"/>
  <c r="H83" i="11" s="1"/>
  <c r="E83" i="11"/>
  <c r="G82" i="11"/>
  <c r="H82" i="11" s="1"/>
  <c r="E82" i="11"/>
  <c r="G81" i="11"/>
  <c r="H81" i="11" s="1"/>
  <c r="E81" i="11"/>
  <c r="G80" i="11"/>
  <c r="H80" i="11" s="1"/>
  <c r="E80" i="11"/>
  <c r="G79" i="11"/>
  <c r="H79" i="11" s="1"/>
  <c r="E79" i="11"/>
  <c r="G78" i="11"/>
  <c r="H78" i="11" s="1"/>
  <c r="E78" i="11"/>
  <c r="G77" i="11"/>
  <c r="H77" i="11" s="1"/>
  <c r="E77" i="11"/>
  <c r="H76" i="11"/>
  <c r="G76" i="11"/>
  <c r="E76" i="11"/>
  <c r="G75" i="11"/>
  <c r="H75" i="11" s="1"/>
  <c r="E75" i="11"/>
  <c r="G74" i="11"/>
  <c r="H74" i="11" s="1"/>
  <c r="E74" i="11"/>
  <c r="G73" i="11"/>
  <c r="H73" i="11" s="1"/>
  <c r="E73" i="11"/>
  <c r="G72" i="11"/>
  <c r="H72" i="11" s="1"/>
  <c r="E72" i="11"/>
  <c r="G71" i="11"/>
  <c r="H71" i="11" s="1"/>
  <c r="E71" i="11"/>
  <c r="G70" i="11"/>
  <c r="H70" i="11" s="1"/>
  <c r="E70" i="11"/>
  <c r="G69" i="11"/>
  <c r="H69" i="11" s="1"/>
  <c r="E69" i="11"/>
  <c r="G68" i="11"/>
  <c r="H68" i="11" s="1"/>
  <c r="E68" i="11"/>
  <c r="G67" i="11"/>
  <c r="H67" i="11" s="1"/>
  <c r="E67" i="11"/>
  <c r="G66" i="11"/>
  <c r="H66" i="11" s="1"/>
  <c r="E66" i="11"/>
  <c r="G65" i="11"/>
  <c r="H65" i="11" s="1"/>
  <c r="E65" i="11"/>
  <c r="G64" i="11"/>
  <c r="H64" i="11" s="1"/>
  <c r="E64" i="11"/>
  <c r="G63" i="11"/>
  <c r="H63" i="11" s="1"/>
  <c r="E63" i="11"/>
  <c r="G62" i="11"/>
  <c r="H62" i="11" s="1"/>
  <c r="E62" i="11"/>
  <c r="G61" i="11"/>
  <c r="H61" i="11" s="1"/>
  <c r="E61" i="11"/>
  <c r="G60" i="11"/>
  <c r="H60" i="11" s="1"/>
  <c r="E60" i="11"/>
  <c r="G59" i="11"/>
  <c r="H59" i="11" s="1"/>
  <c r="E59" i="11"/>
  <c r="G58" i="11"/>
  <c r="H58" i="11" s="1"/>
  <c r="E58" i="11"/>
  <c r="G57" i="11"/>
  <c r="H57" i="11" s="1"/>
  <c r="E57" i="11"/>
  <c r="H56" i="11"/>
  <c r="G56" i="11"/>
  <c r="E56" i="11"/>
  <c r="G55" i="11"/>
  <c r="H55" i="11" s="1"/>
  <c r="E55" i="11"/>
  <c r="G54" i="11"/>
  <c r="H54" i="11" s="1"/>
  <c r="E54" i="11"/>
  <c r="G53" i="11"/>
  <c r="H53" i="11" s="1"/>
  <c r="E53" i="11"/>
  <c r="H52" i="11"/>
  <c r="G52" i="11"/>
  <c r="E52" i="11"/>
  <c r="G51" i="11"/>
  <c r="H51" i="11" s="1"/>
  <c r="E51" i="11"/>
  <c r="G50" i="11"/>
  <c r="H50" i="11" s="1"/>
  <c r="E50" i="11"/>
  <c r="G49" i="11"/>
  <c r="H49" i="11" s="1"/>
  <c r="E49" i="11"/>
  <c r="G48" i="11"/>
  <c r="H48" i="11" s="1"/>
  <c r="E48" i="11"/>
  <c r="G47" i="11"/>
  <c r="H47" i="11" s="1"/>
  <c r="E47" i="11"/>
  <c r="G46" i="11"/>
  <c r="H46" i="11" s="1"/>
  <c r="E46" i="11"/>
  <c r="G45" i="11"/>
  <c r="H45" i="11" s="1"/>
  <c r="E45" i="11"/>
  <c r="H44" i="11"/>
  <c r="G44" i="11"/>
  <c r="E44" i="11"/>
  <c r="G43" i="11"/>
  <c r="H43" i="11" s="1"/>
  <c r="E43" i="11"/>
  <c r="G42" i="11"/>
  <c r="H42" i="11" s="1"/>
  <c r="E42" i="11"/>
  <c r="G41" i="11"/>
  <c r="H41" i="11" s="1"/>
  <c r="E41" i="11"/>
  <c r="G40" i="11"/>
  <c r="H40" i="11" s="1"/>
  <c r="E40" i="11"/>
  <c r="G39" i="11"/>
  <c r="H39" i="11" s="1"/>
  <c r="E39" i="11"/>
  <c r="G38" i="11"/>
  <c r="H38" i="11" s="1"/>
  <c r="E38" i="11"/>
  <c r="G37" i="11"/>
  <c r="H37" i="11" s="1"/>
  <c r="E37" i="11"/>
  <c r="G36" i="11"/>
  <c r="H36" i="11" s="1"/>
  <c r="E36" i="11"/>
  <c r="G35" i="11"/>
  <c r="H35" i="11" s="1"/>
  <c r="E35" i="11"/>
  <c r="G34" i="11"/>
  <c r="H34" i="11" s="1"/>
  <c r="E34" i="11"/>
  <c r="G33" i="11"/>
  <c r="H33" i="11" s="1"/>
  <c r="E33" i="11"/>
  <c r="G32" i="11"/>
  <c r="H32" i="11" s="1"/>
  <c r="E32" i="11"/>
  <c r="G31" i="11"/>
  <c r="H31" i="11" s="1"/>
  <c r="E31" i="11"/>
  <c r="G30" i="11"/>
  <c r="H30" i="11" s="1"/>
  <c r="E30" i="11"/>
  <c r="G29" i="11"/>
  <c r="H29" i="11" s="1"/>
  <c r="E29" i="11"/>
  <c r="G28" i="11"/>
  <c r="H28" i="11" s="1"/>
  <c r="E28" i="11"/>
  <c r="G27" i="11"/>
  <c r="H27" i="11" s="1"/>
  <c r="E27" i="11"/>
  <c r="G26" i="11"/>
  <c r="H26" i="11" s="1"/>
  <c r="E26" i="11"/>
  <c r="G25" i="11"/>
  <c r="H25" i="11" s="1"/>
  <c r="E25" i="11"/>
  <c r="H24" i="11"/>
  <c r="G24" i="11"/>
  <c r="E24" i="11"/>
  <c r="G23" i="11"/>
  <c r="H23" i="11" s="1"/>
  <c r="E23" i="11"/>
  <c r="G22" i="11"/>
  <c r="H22" i="11" s="1"/>
  <c r="E22" i="11"/>
  <c r="G21" i="11"/>
  <c r="H21" i="11" s="1"/>
  <c r="E21" i="11"/>
  <c r="H20" i="11"/>
  <c r="G20" i="11"/>
  <c r="E20" i="11"/>
  <c r="G19" i="11"/>
  <c r="H19" i="11" s="1"/>
  <c r="E19" i="11"/>
  <c r="G18" i="11"/>
  <c r="H18" i="11" s="1"/>
  <c r="E18" i="11"/>
  <c r="G17" i="11"/>
  <c r="H17" i="11" s="1"/>
  <c r="E17" i="11"/>
  <c r="G16" i="11"/>
  <c r="H16" i="11" s="1"/>
  <c r="E16" i="11"/>
  <c r="G15" i="11"/>
  <c r="H15" i="11" s="1"/>
  <c r="E15" i="11"/>
  <c r="G14" i="11"/>
  <c r="H14" i="11" s="1"/>
  <c r="E14" i="11"/>
  <c r="G13" i="11"/>
  <c r="H13" i="11" s="1"/>
  <c r="E13" i="11"/>
  <c r="H12" i="11"/>
  <c r="G12" i="11"/>
  <c r="E12" i="11"/>
  <c r="G11" i="11"/>
  <c r="H11" i="11" s="1"/>
  <c r="E11" i="11"/>
  <c r="G10" i="11"/>
  <c r="H10" i="11" s="1"/>
  <c r="E10" i="11"/>
  <c r="G9" i="11"/>
  <c r="H9" i="11" s="1"/>
  <c r="E9" i="11"/>
  <c r="H8" i="11"/>
  <c r="G8" i="11"/>
  <c r="E8" i="11"/>
  <c r="G7" i="11"/>
  <c r="H7" i="11" s="1"/>
  <c r="E7" i="11"/>
  <c r="G6" i="11"/>
  <c r="H6" i="11" s="1"/>
  <c r="E6" i="11"/>
  <c r="G5" i="11"/>
  <c r="H5" i="11" s="1"/>
  <c r="E5" i="11"/>
  <c r="G4" i="11"/>
  <c r="H4" i="11" s="1"/>
  <c r="E4" i="11"/>
  <c r="H3" i="11"/>
  <c r="G3" i="11"/>
  <c r="E3" i="11"/>
  <c r="G2" i="11"/>
  <c r="H2" i="11" s="1"/>
  <c r="E2" i="11"/>
  <c r="E502" i="12"/>
  <c r="G501" i="12"/>
  <c r="H501" i="12" s="1"/>
  <c r="E501" i="12"/>
  <c r="G500" i="12"/>
  <c r="H500" i="12" s="1"/>
  <c r="E500" i="12"/>
  <c r="G499" i="12"/>
  <c r="H499" i="12" s="1"/>
  <c r="E499" i="12"/>
  <c r="G498" i="12"/>
  <c r="H498" i="12" s="1"/>
  <c r="E498" i="12"/>
  <c r="G497" i="12"/>
  <c r="H497" i="12" s="1"/>
  <c r="E497" i="12"/>
  <c r="G496" i="12"/>
  <c r="H496" i="12" s="1"/>
  <c r="E496" i="12"/>
  <c r="G495" i="12"/>
  <c r="H495" i="12" s="1"/>
  <c r="E495" i="12"/>
  <c r="G494" i="12"/>
  <c r="H494" i="12" s="1"/>
  <c r="E494" i="12"/>
  <c r="G493" i="12"/>
  <c r="H493" i="12" s="1"/>
  <c r="E493" i="12"/>
  <c r="G492" i="12"/>
  <c r="H492" i="12" s="1"/>
  <c r="E492" i="12"/>
  <c r="G491" i="12"/>
  <c r="H491" i="12" s="1"/>
  <c r="E491" i="12"/>
  <c r="G490" i="12"/>
  <c r="H490" i="12" s="1"/>
  <c r="E490" i="12"/>
  <c r="G489" i="12"/>
  <c r="H489" i="12" s="1"/>
  <c r="E489" i="12"/>
  <c r="G488" i="12"/>
  <c r="H488" i="12" s="1"/>
  <c r="E488" i="12"/>
  <c r="G487" i="12"/>
  <c r="H487" i="12" s="1"/>
  <c r="E487" i="12"/>
  <c r="H486" i="12"/>
  <c r="G486" i="12"/>
  <c r="E486" i="12"/>
  <c r="G485" i="12"/>
  <c r="H485" i="12" s="1"/>
  <c r="E485" i="12"/>
  <c r="G484" i="12"/>
  <c r="H484" i="12" s="1"/>
  <c r="E484" i="12"/>
  <c r="G483" i="12"/>
  <c r="H483" i="12" s="1"/>
  <c r="E483" i="12"/>
  <c r="H482" i="12"/>
  <c r="G482" i="12"/>
  <c r="E482" i="12"/>
  <c r="G481" i="12"/>
  <c r="H481" i="12" s="1"/>
  <c r="E481" i="12"/>
  <c r="G480" i="12"/>
  <c r="H480" i="12" s="1"/>
  <c r="E480" i="12"/>
  <c r="G479" i="12"/>
  <c r="H479" i="12" s="1"/>
  <c r="E479" i="12"/>
  <c r="G478" i="12"/>
  <c r="H478" i="12" s="1"/>
  <c r="E478" i="12"/>
  <c r="G477" i="12"/>
  <c r="H477" i="12" s="1"/>
  <c r="E477" i="12"/>
  <c r="G476" i="12"/>
  <c r="H476" i="12" s="1"/>
  <c r="E476" i="12"/>
  <c r="G475" i="12"/>
  <c r="H475" i="12" s="1"/>
  <c r="E475" i="12"/>
  <c r="H474" i="12"/>
  <c r="G474" i="12"/>
  <c r="E474" i="12"/>
  <c r="G473" i="12"/>
  <c r="H473" i="12" s="1"/>
  <c r="E473" i="12"/>
  <c r="G472" i="12"/>
  <c r="H472" i="12" s="1"/>
  <c r="E472" i="12"/>
  <c r="G471" i="12"/>
  <c r="H471" i="12" s="1"/>
  <c r="E471" i="12"/>
  <c r="G470" i="12"/>
  <c r="H470" i="12" s="1"/>
  <c r="E470" i="12"/>
  <c r="G469" i="12"/>
  <c r="H469" i="12" s="1"/>
  <c r="E469" i="12"/>
  <c r="G468" i="12"/>
  <c r="H468" i="12" s="1"/>
  <c r="E468" i="12"/>
  <c r="G467" i="12"/>
  <c r="H467" i="12" s="1"/>
  <c r="E467" i="12"/>
  <c r="G466" i="12"/>
  <c r="H466" i="12" s="1"/>
  <c r="E466" i="12"/>
  <c r="G465" i="12"/>
  <c r="H465" i="12" s="1"/>
  <c r="E465" i="12"/>
  <c r="G464" i="12"/>
  <c r="H464" i="12" s="1"/>
  <c r="E464" i="12"/>
  <c r="G463" i="12"/>
  <c r="H463" i="12" s="1"/>
  <c r="E463" i="12"/>
  <c r="G462" i="12"/>
  <c r="H462" i="12" s="1"/>
  <c r="E462" i="12"/>
  <c r="G461" i="12"/>
  <c r="H461" i="12" s="1"/>
  <c r="E461" i="12"/>
  <c r="G460" i="12"/>
  <c r="H460" i="12" s="1"/>
  <c r="E460" i="12"/>
  <c r="G459" i="12"/>
  <c r="H459" i="12" s="1"/>
  <c r="E459" i="12"/>
  <c r="G458" i="12"/>
  <c r="H458" i="12" s="1"/>
  <c r="E458" i="12"/>
  <c r="G457" i="12"/>
  <c r="H457" i="12" s="1"/>
  <c r="E457" i="12"/>
  <c r="G456" i="12"/>
  <c r="H456" i="12" s="1"/>
  <c r="E456" i="12"/>
  <c r="G455" i="12"/>
  <c r="H455" i="12" s="1"/>
  <c r="E455" i="12"/>
  <c r="H454" i="12"/>
  <c r="G454" i="12"/>
  <c r="E454" i="12"/>
  <c r="G453" i="12"/>
  <c r="H453" i="12" s="1"/>
  <c r="E453" i="12"/>
  <c r="G452" i="12"/>
  <c r="H452" i="12" s="1"/>
  <c r="E452" i="12"/>
  <c r="G451" i="12"/>
  <c r="H451" i="12" s="1"/>
  <c r="E451" i="12"/>
  <c r="H450" i="12"/>
  <c r="G450" i="12"/>
  <c r="E450" i="12"/>
  <c r="G449" i="12"/>
  <c r="H449" i="12" s="1"/>
  <c r="E449" i="12"/>
  <c r="G448" i="12"/>
  <c r="H448" i="12" s="1"/>
  <c r="E448" i="12"/>
  <c r="G447" i="12"/>
  <c r="H447" i="12" s="1"/>
  <c r="E447" i="12"/>
  <c r="G446" i="12"/>
  <c r="H446" i="12" s="1"/>
  <c r="E446" i="12"/>
  <c r="G445" i="12"/>
  <c r="H445" i="12" s="1"/>
  <c r="E445" i="12"/>
  <c r="G444" i="12"/>
  <c r="H444" i="12" s="1"/>
  <c r="E444" i="12"/>
  <c r="H443" i="12"/>
  <c r="G443" i="12"/>
  <c r="E443" i="12"/>
  <c r="G442" i="12"/>
  <c r="H442" i="12" s="1"/>
  <c r="E442" i="12"/>
  <c r="G441" i="12"/>
  <c r="H441" i="12" s="1"/>
  <c r="E441" i="12"/>
  <c r="G440" i="12"/>
  <c r="H440" i="12" s="1"/>
  <c r="E440" i="12"/>
  <c r="H439" i="12"/>
  <c r="G439" i="12"/>
  <c r="E439" i="12"/>
  <c r="G438" i="12"/>
  <c r="H438" i="12" s="1"/>
  <c r="E438" i="12"/>
  <c r="G437" i="12"/>
  <c r="H437" i="12" s="1"/>
  <c r="E437" i="12"/>
  <c r="G436" i="12"/>
  <c r="H436" i="12" s="1"/>
  <c r="E436" i="12"/>
  <c r="H435" i="12"/>
  <c r="G435" i="12"/>
  <c r="E435" i="12"/>
  <c r="H434" i="12"/>
  <c r="G434" i="12"/>
  <c r="E434" i="12"/>
  <c r="G433" i="12"/>
  <c r="H433" i="12" s="1"/>
  <c r="E433" i="12"/>
  <c r="G432" i="12"/>
  <c r="H432" i="12" s="1"/>
  <c r="E432" i="12"/>
  <c r="G431" i="12"/>
  <c r="H431" i="12" s="1"/>
  <c r="E431" i="12"/>
  <c r="G430" i="12"/>
  <c r="H430" i="12" s="1"/>
  <c r="E430" i="12"/>
  <c r="G429" i="12"/>
  <c r="H429" i="12" s="1"/>
  <c r="E429" i="12"/>
  <c r="G428" i="12"/>
  <c r="H428" i="12" s="1"/>
  <c r="E428" i="12"/>
  <c r="G427" i="12"/>
  <c r="H427" i="12" s="1"/>
  <c r="E427" i="12"/>
  <c r="H426" i="12"/>
  <c r="G426" i="12"/>
  <c r="E426" i="12"/>
  <c r="G425" i="12"/>
  <c r="H425" i="12" s="1"/>
  <c r="E425" i="12"/>
  <c r="G424" i="12"/>
  <c r="H424" i="12" s="1"/>
  <c r="E424" i="12"/>
  <c r="G423" i="12"/>
  <c r="H423" i="12" s="1"/>
  <c r="E423" i="12"/>
  <c r="H422" i="12"/>
  <c r="G422" i="12"/>
  <c r="E422" i="12"/>
  <c r="G421" i="12"/>
  <c r="H421" i="12" s="1"/>
  <c r="E421" i="12"/>
  <c r="G420" i="12"/>
  <c r="H420" i="12" s="1"/>
  <c r="E420" i="12"/>
  <c r="G419" i="12"/>
  <c r="H419" i="12" s="1"/>
  <c r="E419" i="12"/>
  <c r="G418" i="12"/>
  <c r="H418" i="12" s="1"/>
  <c r="E418" i="12"/>
  <c r="G417" i="12"/>
  <c r="H417" i="12" s="1"/>
  <c r="E417" i="12"/>
  <c r="G416" i="12"/>
  <c r="H416" i="12" s="1"/>
  <c r="E416" i="12"/>
  <c r="G415" i="12"/>
  <c r="H415" i="12" s="1"/>
  <c r="E415" i="12"/>
  <c r="G414" i="12"/>
  <c r="H414" i="12" s="1"/>
  <c r="E414" i="12"/>
  <c r="G413" i="12"/>
  <c r="H413" i="12" s="1"/>
  <c r="E413" i="12"/>
  <c r="G412" i="12"/>
  <c r="H412" i="12" s="1"/>
  <c r="E412" i="12"/>
  <c r="G411" i="12"/>
  <c r="H411" i="12" s="1"/>
  <c r="E411" i="12"/>
  <c r="G410" i="12"/>
  <c r="H410" i="12" s="1"/>
  <c r="E410" i="12"/>
  <c r="G409" i="12"/>
  <c r="H409" i="12" s="1"/>
  <c r="E409" i="12"/>
  <c r="G408" i="12"/>
  <c r="H408" i="12" s="1"/>
  <c r="E408" i="12"/>
  <c r="G407" i="12"/>
  <c r="H407" i="12" s="1"/>
  <c r="E407" i="12"/>
  <c r="H406" i="12"/>
  <c r="G406" i="12"/>
  <c r="E406" i="12"/>
  <c r="G405" i="12"/>
  <c r="H405" i="12" s="1"/>
  <c r="E405" i="12"/>
  <c r="G404" i="12"/>
  <c r="H404" i="12" s="1"/>
  <c r="E404" i="12"/>
  <c r="G403" i="12"/>
  <c r="H403" i="12" s="1"/>
  <c r="E403" i="12"/>
  <c r="H402" i="12"/>
  <c r="G402" i="12"/>
  <c r="E402" i="12"/>
  <c r="G401" i="12"/>
  <c r="H401" i="12" s="1"/>
  <c r="E401" i="12"/>
  <c r="G400" i="12"/>
  <c r="H400" i="12" s="1"/>
  <c r="E400" i="12"/>
  <c r="G399" i="12"/>
  <c r="H399" i="12" s="1"/>
  <c r="E399" i="12"/>
  <c r="G398" i="12"/>
  <c r="H398" i="12" s="1"/>
  <c r="E398" i="12"/>
  <c r="G397" i="12"/>
  <c r="H397" i="12" s="1"/>
  <c r="E397" i="12"/>
  <c r="G396" i="12"/>
  <c r="H396" i="12" s="1"/>
  <c r="E396" i="12"/>
  <c r="G395" i="12"/>
  <c r="H395" i="12" s="1"/>
  <c r="E395" i="12"/>
  <c r="H394" i="12"/>
  <c r="G394" i="12"/>
  <c r="E394" i="12"/>
  <c r="G393" i="12"/>
  <c r="H393" i="12" s="1"/>
  <c r="E393" i="12"/>
  <c r="G392" i="12"/>
  <c r="H392" i="12" s="1"/>
  <c r="E392" i="12"/>
  <c r="G391" i="12"/>
  <c r="H391" i="12" s="1"/>
  <c r="E391" i="12"/>
  <c r="H390" i="12"/>
  <c r="G390" i="12"/>
  <c r="E390" i="12"/>
  <c r="G389" i="12"/>
  <c r="H389" i="12" s="1"/>
  <c r="E389" i="12"/>
  <c r="G388" i="12"/>
  <c r="H388" i="12" s="1"/>
  <c r="E388" i="12"/>
  <c r="G387" i="12"/>
  <c r="H387" i="12" s="1"/>
  <c r="E387" i="12"/>
  <c r="G386" i="12"/>
  <c r="H386" i="12" s="1"/>
  <c r="E386" i="12"/>
  <c r="G385" i="12"/>
  <c r="H385" i="12" s="1"/>
  <c r="E385" i="12"/>
  <c r="G384" i="12"/>
  <c r="H384" i="12" s="1"/>
  <c r="E384" i="12"/>
  <c r="G383" i="12"/>
  <c r="H383" i="12" s="1"/>
  <c r="E383" i="12"/>
  <c r="G382" i="12"/>
  <c r="H382" i="12" s="1"/>
  <c r="E382" i="12"/>
  <c r="G381" i="12"/>
  <c r="H381" i="12" s="1"/>
  <c r="E381" i="12"/>
  <c r="G380" i="12"/>
  <c r="H380" i="12" s="1"/>
  <c r="E380" i="12"/>
  <c r="G379" i="12"/>
  <c r="H379" i="12" s="1"/>
  <c r="E379" i="12"/>
  <c r="G378" i="12"/>
  <c r="H378" i="12" s="1"/>
  <c r="E378" i="12"/>
  <c r="G377" i="12"/>
  <c r="H377" i="12" s="1"/>
  <c r="E377" i="12"/>
  <c r="G376" i="12"/>
  <c r="H376" i="12" s="1"/>
  <c r="E376" i="12"/>
  <c r="G375" i="12"/>
  <c r="H375" i="12" s="1"/>
  <c r="E375" i="12"/>
  <c r="H374" i="12"/>
  <c r="G374" i="12"/>
  <c r="E374" i="12"/>
  <c r="G373" i="12"/>
  <c r="H373" i="12" s="1"/>
  <c r="E373" i="12"/>
  <c r="G372" i="12"/>
  <c r="H372" i="12" s="1"/>
  <c r="E372" i="12"/>
  <c r="G371" i="12"/>
  <c r="H371" i="12" s="1"/>
  <c r="E371" i="12"/>
  <c r="H370" i="12"/>
  <c r="G370" i="12"/>
  <c r="E370" i="12"/>
  <c r="G369" i="12"/>
  <c r="H369" i="12" s="1"/>
  <c r="E369" i="12"/>
  <c r="G368" i="12"/>
  <c r="H368" i="12" s="1"/>
  <c r="E368" i="12"/>
  <c r="G367" i="12"/>
  <c r="H367" i="12" s="1"/>
  <c r="E367" i="12"/>
  <c r="H366" i="12"/>
  <c r="G366" i="12"/>
  <c r="E366" i="12"/>
  <c r="G365" i="12"/>
  <c r="H365" i="12" s="1"/>
  <c r="E365" i="12"/>
  <c r="H364" i="12"/>
  <c r="G364" i="12"/>
  <c r="E364" i="12"/>
  <c r="G363" i="12"/>
  <c r="H363" i="12" s="1"/>
  <c r="E363" i="12"/>
  <c r="H362" i="12"/>
  <c r="G362" i="12"/>
  <c r="E362" i="12"/>
  <c r="G361" i="12"/>
  <c r="H361" i="12" s="1"/>
  <c r="E361" i="12"/>
  <c r="G360" i="12"/>
  <c r="H360" i="12" s="1"/>
  <c r="E360" i="12"/>
  <c r="G359" i="12"/>
  <c r="H359" i="12" s="1"/>
  <c r="E359" i="12"/>
  <c r="G358" i="12"/>
  <c r="H358" i="12" s="1"/>
  <c r="E358" i="12"/>
  <c r="G357" i="12"/>
  <c r="H357" i="12" s="1"/>
  <c r="E357" i="12"/>
  <c r="H356" i="12"/>
  <c r="G356" i="12"/>
  <c r="E356" i="12"/>
  <c r="G355" i="12"/>
  <c r="H355" i="12" s="1"/>
  <c r="E355" i="12"/>
  <c r="H354" i="12"/>
  <c r="G354" i="12"/>
  <c r="E354" i="12"/>
  <c r="G353" i="12"/>
  <c r="H353" i="12" s="1"/>
  <c r="E353" i="12"/>
  <c r="G352" i="12"/>
  <c r="H352" i="12" s="1"/>
  <c r="E352" i="12"/>
  <c r="G351" i="12"/>
  <c r="H351" i="12" s="1"/>
  <c r="E351" i="12"/>
  <c r="H350" i="12"/>
  <c r="G350" i="12"/>
  <c r="E350" i="12"/>
  <c r="G349" i="12"/>
  <c r="H349" i="12" s="1"/>
  <c r="E349" i="12"/>
  <c r="H348" i="12"/>
  <c r="G348" i="12"/>
  <c r="E348" i="12"/>
  <c r="G347" i="12"/>
  <c r="H347" i="12" s="1"/>
  <c r="E347" i="12"/>
  <c r="H346" i="12"/>
  <c r="G346" i="12"/>
  <c r="E346" i="12"/>
  <c r="G345" i="12"/>
  <c r="H345" i="12" s="1"/>
  <c r="E345" i="12"/>
  <c r="G344" i="12"/>
  <c r="H344" i="12" s="1"/>
  <c r="E344" i="12"/>
  <c r="G343" i="12"/>
  <c r="H343" i="12" s="1"/>
  <c r="E343" i="12"/>
  <c r="G342" i="12"/>
  <c r="H342" i="12" s="1"/>
  <c r="E342" i="12"/>
  <c r="G341" i="12"/>
  <c r="H341" i="12" s="1"/>
  <c r="E341" i="12"/>
  <c r="H340" i="12"/>
  <c r="G340" i="12"/>
  <c r="E340" i="12"/>
  <c r="G339" i="12"/>
  <c r="H339" i="12" s="1"/>
  <c r="E339" i="12"/>
  <c r="H338" i="12"/>
  <c r="G338" i="12"/>
  <c r="E338" i="12"/>
  <c r="G337" i="12"/>
  <c r="H337" i="12" s="1"/>
  <c r="E337" i="12"/>
  <c r="G336" i="12"/>
  <c r="H336" i="12" s="1"/>
  <c r="E336" i="12"/>
  <c r="G335" i="12"/>
  <c r="H335" i="12" s="1"/>
  <c r="E335" i="12"/>
  <c r="H334" i="12"/>
  <c r="G334" i="12"/>
  <c r="E334" i="12"/>
  <c r="G333" i="12"/>
  <c r="H333" i="12" s="1"/>
  <c r="E333" i="12"/>
  <c r="H332" i="12"/>
  <c r="G332" i="12"/>
  <c r="E332" i="12"/>
  <c r="G331" i="12"/>
  <c r="H331" i="12" s="1"/>
  <c r="E331" i="12"/>
  <c r="H330" i="12"/>
  <c r="G330" i="12"/>
  <c r="E330" i="12"/>
  <c r="G329" i="12"/>
  <c r="H329" i="12" s="1"/>
  <c r="E329" i="12"/>
  <c r="G328" i="12"/>
  <c r="H328" i="12" s="1"/>
  <c r="E328" i="12"/>
  <c r="G327" i="12"/>
  <c r="H327" i="12" s="1"/>
  <c r="E327" i="12"/>
  <c r="G326" i="12"/>
  <c r="H326" i="12" s="1"/>
  <c r="E326" i="12"/>
  <c r="G325" i="12"/>
  <c r="H325" i="12" s="1"/>
  <c r="E325" i="12"/>
  <c r="H324" i="12"/>
  <c r="G324" i="12"/>
  <c r="E324" i="12"/>
  <c r="G323" i="12"/>
  <c r="H323" i="12" s="1"/>
  <c r="E323" i="12"/>
  <c r="H322" i="12"/>
  <c r="G322" i="12"/>
  <c r="E322" i="12"/>
  <c r="G321" i="12"/>
  <c r="H321" i="12" s="1"/>
  <c r="E321" i="12"/>
  <c r="G320" i="12"/>
  <c r="H320" i="12" s="1"/>
  <c r="E320" i="12"/>
  <c r="G319" i="12"/>
  <c r="H319" i="12" s="1"/>
  <c r="E319" i="12"/>
  <c r="H318" i="12"/>
  <c r="G318" i="12"/>
  <c r="E318" i="12"/>
  <c r="G317" i="12"/>
  <c r="H317" i="12" s="1"/>
  <c r="E317" i="12"/>
  <c r="G316" i="12"/>
  <c r="H316" i="12" s="1"/>
  <c r="E316" i="12"/>
  <c r="G315" i="12"/>
  <c r="H315" i="12" s="1"/>
  <c r="E315" i="12"/>
  <c r="H314" i="12"/>
  <c r="G314" i="12"/>
  <c r="E314" i="12"/>
  <c r="G313" i="12"/>
  <c r="H313" i="12" s="1"/>
  <c r="E313" i="12"/>
  <c r="G312" i="12"/>
  <c r="H312" i="12" s="1"/>
  <c r="E312" i="12"/>
  <c r="G311" i="12"/>
  <c r="H311" i="12" s="1"/>
  <c r="E311" i="12"/>
  <c r="G310" i="12"/>
  <c r="H310" i="12" s="1"/>
  <c r="E310" i="12"/>
  <c r="G309" i="12"/>
  <c r="H309" i="12" s="1"/>
  <c r="E309" i="12"/>
  <c r="G308" i="12"/>
  <c r="H308" i="12" s="1"/>
  <c r="E308" i="12"/>
  <c r="G307" i="12"/>
  <c r="H307" i="12" s="1"/>
  <c r="E307" i="12"/>
  <c r="H306" i="12"/>
  <c r="G306" i="12"/>
  <c r="E306" i="12"/>
  <c r="G305" i="12"/>
  <c r="H305" i="12" s="1"/>
  <c r="E305" i="12"/>
  <c r="G304" i="12"/>
  <c r="H304" i="12" s="1"/>
  <c r="E304" i="12"/>
  <c r="H303" i="12"/>
  <c r="G303" i="12"/>
  <c r="E303" i="12"/>
  <c r="H302" i="12"/>
  <c r="G302" i="12"/>
  <c r="E302" i="12"/>
  <c r="G301" i="12"/>
  <c r="H301" i="12" s="1"/>
  <c r="E301" i="12"/>
  <c r="G300" i="12"/>
  <c r="H300" i="12" s="1"/>
  <c r="E300" i="12"/>
  <c r="G299" i="12"/>
  <c r="H299" i="12" s="1"/>
  <c r="E299" i="12"/>
  <c r="H298" i="12"/>
  <c r="G298" i="12"/>
  <c r="E298" i="12"/>
  <c r="G297" i="12"/>
  <c r="H297" i="12" s="1"/>
  <c r="E297" i="12"/>
  <c r="G296" i="12"/>
  <c r="H296" i="12" s="1"/>
  <c r="E296" i="12"/>
  <c r="G295" i="12"/>
  <c r="H295" i="12" s="1"/>
  <c r="E295" i="12"/>
  <c r="G294" i="12"/>
  <c r="H294" i="12" s="1"/>
  <c r="E294" i="12"/>
  <c r="G293" i="12"/>
  <c r="H293" i="12" s="1"/>
  <c r="E293" i="12"/>
  <c r="G292" i="12"/>
  <c r="H292" i="12" s="1"/>
  <c r="E292" i="12"/>
  <c r="G291" i="12"/>
  <c r="H291" i="12" s="1"/>
  <c r="E291" i="12"/>
  <c r="H290" i="12"/>
  <c r="G290" i="12"/>
  <c r="E290" i="12"/>
  <c r="G289" i="12"/>
  <c r="H289" i="12" s="1"/>
  <c r="E289" i="12"/>
  <c r="G288" i="12"/>
  <c r="H288" i="12" s="1"/>
  <c r="E288" i="12"/>
  <c r="G287" i="12"/>
  <c r="H287" i="12" s="1"/>
  <c r="E287" i="12"/>
  <c r="G286" i="12"/>
  <c r="H286" i="12" s="1"/>
  <c r="E286" i="12"/>
  <c r="G285" i="12"/>
  <c r="H285" i="12" s="1"/>
  <c r="E285" i="12"/>
  <c r="G284" i="12"/>
  <c r="H284" i="12" s="1"/>
  <c r="E284" i="12"/>
  <c r="H283" i="12"/>
  <c r="G283" i="12"/>
  <c r="E283" i="12"/>
  <c r="G282" i="12"/>
  <c r="H282" i="12" s="1"/>
  <c r="E282" i="12"/>
  <c r="G281" i="12"/>
  <c r="H281" i="12" s="1"/>
  <c r="E281" i="12"/>
  <c r="G280" i="12"/>
  <c r="H280" i="12" s="1"/>
  <c r="E280" i="12"/>
  <c r="H279" i="12"/>
  <c r="G279" i="12"/>
  <c r="E279" i="12"/>
  <c r="G278" i="12"/>
  <c r="H278" i="12" s="1"/>
  <c r="E278" i="12"/>
  <c r="G277" i="12"/>
  <c r="H277" i="12" s="1"/>
  <c r="E277" i="12"/>
  <c r="G276" i="12"/>
  <c r="H276" i="12" s="1"/>
  <c r="E276" i="12"/>
  <c r="G275" i="12"/>
  <c r="H275" i="12" s="1"/>
  <c r="E275" i="12"/>
  <c r="G274" i="12"/>
  <c r="H274" i="12" s="1"/>
  <c r="E274" i="12"/>
  <c r="G273" i="12"/>
  <c r="H273" i="12" s="1"/>
  <c r="E273" i="12"/>
  <c r="G272" i="12"/>
  <c r="H272" i="12" s="1"/>
  <c r="E272" i="12"/>
  <c r="G271" i="12"/>
  <c r="H271" i="12" s="1"/>
  <c r="E271" i="12"/>
  <c r="H270" i="12"/>
  <c r="G270" i="12"/>
  <c r="E270" i="12"/>
  <c r="G269" i="12"/>
  <c r="H269" i="12" s="1"/>
  <c r="E269" i="12"/>
  <c r="G268" i="12"/>
  <c r="H268" i="12" s="1"/>
  <c r="E268" i="12"/>
  <c r="G267" i="12"/>
  <c r="H267" i="12" s="1"/>
  <c r="E267" i="12"/>
  <c r="H266" i="12"/>
  <c r="G266" i="12"/>
  <c r="E266" i="12"/>
  <c r="G265" i="12"/>
  <c r="H265" i="12" s="1"/>
  <c r="E265" i="12"/>
  <c r="G264" i="12"/>
  <c r="H264" i="12" s="1"/>
  <c r="E264" i="12"/>
  <c r="G263" i="12"/>
  <c r="H263" i="12" s="1"/>
  <c r="E263" i="12"/>
  <c r="H262" i="12"/>
  <c r="G262" i="12"/>
  <c r="E262" i="12"/>
  <c r="G261" i="12"/>
  <c r="H261" i="12" s="1"/>
  <c r="E261" i="12"/>
  <c r="G260" i="12"/>
  <c r="H260" i="12" s="1"/>
  <c r="E260" i="12"/>
  <c r="G259" i="12"/>
  <c r="H259" i="12" s="1"/>
  <c r="E259" i="12"/>
  <c r="G258" i="12"/>
  <c r="H258" i="12" s="1"/>
  <c r="E258" i="12"/>
  <c r="G257" i="12"/>
  <c r="H257" i="12" s="1"/>
  <c r="E257" i="12"/>
  <c r="G256" i="12"/>
  <c r="H256" i="12" s="1"/>
  <c r="E256" i="12"/>
  <c r="G255" i="12"/>
  <c r="H255" i="12" s="1"/>
  <c r="E255" i="12"/>
  <c r="H254" i="12"/>
  <c r="G254" i="12"/>
  <c r="E254" i="12"/>
  <c r="G253" i="12"/>
  <c r="H253" i="12" s="1"/>
  <c r="E253" i="12"/>
  <c r="G252" i="12"/>
  <c r="H252" i="12" s="1"/>
  <c r="E252" i="12"/>
  <c r="G251" i="12"/>
  <c r="H251" i="12" s="1"/>
  <c r="E251" i="12"/>
  <c r="H250" i="12"/>
  <c r="G250" i="12"/>
  <c r="E250" i="12"/>
  <c r="G249" i="12"/>
  <c r="H249" i="12" s="1"/>
  <c r="E249" i="12"/>
  <c r="G248" i="12"/>
  <c r="H248" i="12" s="1"/>
  <c r="E248" i="12"/>
  <c r="G247" i="12"/>
  <c r="H247" i="12" s="1"/>
  <c r="E247" i="12"/>
  <c r="G246" i="12"/>
  <c r="H246" i="12" s="1"/>
  <c r="E246" i="12"/>
  <c r="G245" i="12"/>
  <c r="H245" i="12" s="1"/>
  <c r="E245" i="12"/>
  <c r="G244" i="12"/>
  <c r="H244" i="12" s="1"/>
  <c r="E244" i="12"/>
  <c r="G243" i="12"/>
  <c r="H243" i="12" s="1"/>
  <c r="E243" i="12"/>
  <c r="H242" i="12"/>
  <c r="G242" i="12"/>
  <c r="E242" i="12"/>
  <c r="G241" i="12"/>
  <c r="H241" i="12" s="1"/>
  <c r="E241" i="12"/>
  <c r="G240" i="12"/>
  <c r="H240" i="12" s="1"/>
  <c r="E240" i="12"/>
  <c r="G239" i="12"/>
  <c r="H239" i="12" s="1"/>
  <c r="E239" i="12"/>
  <c r="G238" i="12"/>
  <c r="H238" i="12" s="1"/>
  <c r="E238" i="12"/>
  <c r="G237" i="12"/>
  <c r="H237" i="12" s="1"/>
  <c r="E237" i="12"/>
  <c r="G236" i="12"/>
  <c r="H236" i="12" s="1"/>
  <c r="E236" i="12"/>
  <c r="G235" i="12"/>
  <c r="H235" i="12" s="1"/>
  <c r="E235" i="12"/>
  <c r="H234" i="12"/>
  <c r="G234" i="12"/>
  <c r="E234" i="12"/>
  <c r="G233" i="12"/>
  <c r="H233" i="12" s="1"/>
  <c r="E233" i="12"/>
  <c r="G232" i="12"/>
  <c r="H232" i="12" s="1"/>
  <c r="E232" i="12"/>
  <c r="G231" i="12"/>
  <c r="H231" i="12" s="1"/>
  <c r="E231" i="12"/>
  <c r="G230" i="12"/>
  <c r="H230" i="12" s="1"/>
  <c r="E230" i="12"/>
  <c r="G229" i="12"/>
  <c r="H229" i="12" s="1"/>
  <c r="E229" i="12"/>
  <c r="G228" i="12"/>
  <c r="H228" i="12" s="1"/>
  <c r="E228" i="12"/>
  <c r="G227" i="12"/>
  <c r="H227" i="12" s="1"/>
  <c r="E227" i="12"/>
  <c r="G226" i="12"/>
  <c r="H226" i="12" s="1"/>
  <c r="E226" i="12"/>
  <c r="G225" i="12"/>
  <c r="H225" i="12" s="1"/>
  <c r="E225" i="12"/>
  <c r="G224" i="12"/>
  <c r="H224" i="12" s="1"/>
  <c r="E224" i="12"/>
  <c r="G223" i="12"/>
  <c r="H223" i="12" s="1"/>
  <c r="E223" i="12"/>
  <c r="H222" i="12"/>
  <c r="G222" i="12"/>
  <c r="E222" i="12"/>
  <c r="G221" i="12"/>
  <c r="H221" i="12" s="1"/>
  <c r="E221" i="12"/>
  <c r="G220" i="12"/>
  <c r="H220" i="12" s="1"/>
  <c r="E220" i="12"/>
  <c r="G219" i="12"/>
  <c r="H219" i="12" s="1"/>
  <c r="E219" i="12"/>
  <c r="H218" i="12"/>
  <c r="G218" i="12"/>
  <c r="E218" i="12"/>
  <c r="G217" i="12"/>
  <c r="H217" i="12" s="1"/>
  <c r="E217" i="12"/>
  <c r="G216" i="12"/>
  <c r="H216" i="12" s="1"/>
  <c r="E216" i="12"/>
  <c r="G215" i="12"/>
  <c r="H215" i="12" s="1"/>
  <c r="E215" i="12"/>
  <c r="G214" i="12"/>
  <c r="H214" i="12" s="1"/>
  <c r="E214" i="12"/>
  <c r="G213" i="12"/>
  <c r="H213" i="12" s="1"/>
  <c r="E213" i="12"/>
  <c r="G212" i="12"/>
  <c r="H212" i="12" s="1"/>
  <c r="E212" i="12"/>
  <c r="G211" i="12"/>
  <c r="H211" i="12" s="1"/>
  <c r="E211" i="12"/>
  <c r="G210" i="12"/>
  <c r="H210" i="12" s="1"/>
  <c r="E210" i="12"/>
  <c r="G209" i="12"/>
  <c r="H209" i="12" s="1"/>
  <c r="E209" i="12"/>
  <c r="H208" i="12"/>
  <c r="G208" i="12"/>
  <c r="E208" i="12"/>
  <c r="G207" i="12"/>
  <c r="H207" i="12" s="1"/>
  <c r="E207" i="12"/>
  <c r="G206" i="12"/>
  <c r="H206" i="12" s="1"/>
  <c r="E206" i="12"/>
  <c r="G205" i="12"/>
  <c r="H205" i="12" s="1"/>
  <c r="E205" i="12"/>
  <c r="H204" i="12"/>
  <c r="G204" i="12"/>
  <c r="E204" i="12"/>
  <c r="G203" i="12"/>
  <c r="H203" i="12" s="1"/>
  <c r="E203" i="12"/>
  <c r="H202" i="12"/>
  <c r="G202" i="12"/>
  <c r="E202" i="12"/>
  <c r="G201" i="12"/>
  <c r="H201" i="12" s="1"/>
  <c r="E201" i="12"/>
  <c r="H200" i="12"/>
  <c r="G200" i="12"/>
  <c r="E200" i="12"/>
  <c r="G199" i="12"/>
  <c r="H199" i="12" s="1"/>
  <c r="E199" i="12"/>
  <c r="G198" i="12"/>
  <c r="H198" i="12" s="1"/>
  <c r="E198" i="12"/>
  <c r="G197" i="12"/>
  <c r="H197" i="12" s="1"/>
  <c r="E197" i="12"/>
  <c r="G196" i="12"/>
  <c r="H196" i="12" s="1"/>
  <c r="E196" i="12"/>
  <c r="G195" i="12"/>
  <c r="H195" i="12" s="1"/>
  <c r="E195" i="12"/>
  <c r="H194" i="12"/>
  <c r="G194" i="12"/>
  <c r="E194" i="12"/>
  <c r="G193" i="12"/>
  <c r="H193" i="12" s="1"/>
  <c r="E193" i="12"/>
  <c r="G192" i="12"/>
  <c r="H192" i="12" s="1"/>
  <c r="E192" i="12"/>
  <c r="G191" i="12"/>
  <c r="H191" i="12" s="1"/>
  <c r="E191" i="12"/>
  <c r="H190" i="12"/>
  <c r="G190" i="12"/>
  <c r="E190" i="12"/>
  <c r="G189" i="12"/>
  <c r="H189" i="12" s="1"/>
  <c r="E189" i="12"/>
  <c r="G188" i="12"/>
  <c r="H188" i="12" s="1"/>
  <c r="E188" i="12"/>
  <c r="G187" i="12"/>
  <c r="H187" i="12" s="1"/>
  <c r="E187" i="12"/>
  <c r="H186" i="12"/>
  <c r="G186" i="12"/>
  <c r="E186" i="12"/>
  <c r="G185" i="12"/>
  <c r="H185" i="12" s="1"/>
  <c r="E185" i="12"/>
  <c r="G184" i="12"/>
  <c r="H184" i="12" s="1"/>
  <c r="E184" i="12"/>
  <c r="G183" i="12"/>
  <c r="H183" i="12" s="1"/>
  <c r="E183" i="12"/>
  <c r="G182" i="12"/>
  <c r="H182" i="12" s="1"/>
  <c r="E182" i="12"/>
  <c r="G181" i="12"/>
  <c r="H181" i="12" s="1"/>
  <c r="E181" i="12"/>
  <c r="G180" i="12"/>
  <c r="H180" i="12" s="1"/>
  <c r="E180" i="12"/>
  <c r="G179" i="12"/>
  <c r="H179" i="12" s="1"/>
  <c r="E179" i="12"/>
  <c r="G178" i="12"/>
  <c r="H178" i="12" s="1"/>
  <c r="E178" i="12"/>
  <c r="G177" i="12"/>
  <c r="H177" i="12" s="1"/>
  <c r="E177" i="12"/>
  <c r="G176" i="12"/>
  <c r="H176" i="12" s="1"/>
  <c r="E176" i="12"/>
  <c r="G175" i="12"/>
  <c r="H175" i="12" s="1"/>
  <c r="E175" i="12"/>
  <c r="H174" i="12"/>
  <c r="G174" i="12"/>
  <c r="E174" i="12"/>
  <c r="G173" i="12"/>
  <c r="H173" i="12" s="1"/>
  <c r="E173" i="12"/>
  <c r="G172" i="12"/>
  <c r="H172" i="12" s="1"/>
  <c r="E172" i="12"/>
  <c r="G171" i="12"/>
  <c r="H171" i="12" s="1"/>
  <c r="E171" i="12"/>
  <c r="H170" i="12"/>
  <c r="G170" i="12"/>
  <c r="E170" i="12"/>
  <c r="G169" i="12"/>
  <c r="H169" i="12" s="1"/>
  <c r="E169" i="12"/>
  <c r="G168" i="12"/>
  <c r="H168" i="12" s="1"/>
  <c r="E168" i="12"/>
  <c r="G167" i="12"/>
  <c r="H167" i="12" s="1"/>
  <c r="E167" i="12"/>
  <c r="G166" i="12"/>
  <c r="H166" i="12" s="1"/>
  <c r="E166" i="12"/>
  <c r="G165" i="12"/>
  <c r="H165" i="12" s="1"/>
  <c r="E165" i="12"/>
  <c r="G164" i="12"/>
  <c r="H164" i="12" s="1"/>
  <c r="E164" i="12"/>
  <c r="G163" i="12"/>
  <c r="H163" i="12" s="1"/>
  <c r="E163" i="12"/>
  <c r="H162" i="12"/>
  <c r="G162" i="12"/>
  <c r="E162" i="12"/>
  <c r="G161" i="12"/>
  <c r="H161" i="12" s="1"/>
  <c r="E161" i="12"/>
  <c r="G160" i="12"/>
  <c r="H160" i="12" s="1"/>
  <c r="E160" i="12"/>
  <c r="H159" i="12"/>
  <c r="G159" i="12"/>
  <c r="E159" i="12"/>
  <c r="G158" i="12"/>
  <c r="H158" i="12" s="1"/>
  <c r="E158" i="12"/>
  <c r="G157" i="12"/>
  <c r="H157" i="12" s="1"/>
  <c r="E157" i="12"/>
  <c r="G156" i="12"/>
  <c r="H156" i="12" s="1"/>
  <c r="E156" i="12"/>
  <c r="H155" i="12"/>
  <c r="G155" i="12"/>
  <c r="E155" i="12"/>
  <c r="G154" i="12"/>
  <c r="H154" i="12" s="1"/>
  <c r="E154" i="12"/>
  <c r="G153" i="12"/>
  <c r="H153" i="12" s="1"/>
  <c r="E153" i="12"/>
  <c r="G152" i="12"/>
  <c r="H152" i="12" s="1"/>
  <c r="E152" i="12"/>
  <c r="H151" i="12"/>
  <c r="G151" i="12"/>
  <c r="E151" i="12"/>
  <c r="G150" i="12"/>
  <c r="H150" i="12" s="1"/>
  <c r="E150" i="12"/>
  <c r="G149" i="12"/>
  <c r="H149" i="12" s="1"/>
  <c r="E149" i="12"/>
  <c r="G148" i="12"/>
  <c r="H148" i="12" s="1"/>
  <c r="E148" i="12"/>
  <c r="G147" i="12"/>
  <c r="H147" i="12" s="1"/>
  <c r="E147" i="12"/>
  <c r="G146" i="12"/>
  <c r="H146" i="12" s="1"/>
  <c r="E146" i="12"/>
  <c r="H145" i="12"/>
  <c r="G145" i="12"/>
  <c r="E145" i="12"/>
  <c r="G144" i="12"/>
  <c r="H144" i="12" s="1"/>
  <c r="E144" i="12"/>
  <c r="H143" i="12"/>
  <c r="G143" i="12"/>
  <c r="E143" i="12"/>
  <c r="G142" i="12"/>
  <c r="H142" i="12" s="1"/>
  <c r="E142" i="12"/>
  <c r="G141" i="12"/>
  <c r="H141" i="12" s="1"/>
  <c r="E141" i="12"/>
  <c r="G140" i="12"/>
  <c r="H140" i="12" s="1"/>
  <c r="E140" i="12"/>
  <c r="H139" i="12"/>
  <c r="G139" i="12"/>
  <c r="E139" i="12"/>
  <c r="G138" i="12"/>
  <c r="H138" i="12" s="1"/>
  <c r="E138" i="12"/>
  <c r="G137" i="12"/>
  <c r="H137" i="12" s="1"/>
  <c r="E137" i="12"/>
  <c r="G136" i="12"/>
  <c r="H136" i="12" s="1"/>
  <c r="E136" i="12"/>
  <c r="G135" i="12"/>
  <c r="H135" i="12" s="1"/>
  <c r="E135" i="12"/>
  <c r="G134" i="12"/>
  <c r="H134" i="12" s="1"/>
  <c r="E134" i="12"/>
  <c r="G133" i="12"/>
  <c r="H133" i="12" s="1"/>
  <c r="E133" i="12"/>
  <c r="G132" i="12"/>
  <c r="H132" i="12" s="1"/>
  <c r="E132" i="12"/>
  <c r="H131" i="12"/>
  <c r="G131" i="12"/>
  <c r="E131" i="12"/>
  <c r="G130" i="12"/>
  <c r="H130" i="12" s="1"/>
  <c r="E130" i="12"/>
  <c r="G129" i="12"/>
  <c r="H129" i="12" s="1"/>
  <c r="E129" i="12"/>
  <c r="G128" i="12"/>
  <c r="H128" i="12" s="1"/>
  <c r="E128" i="12"/>
  <c r="H127" i="12"/>
  <c r="G127" i="12"/>
  <c r="E127" i="12"/>
  <c r="G126" i="12"/>
  <c r="H126" i="12" s="1"/>
  <c r="E126" i="12"/>
  <c r="G125" i="12"/>
  <c r="H125" i="12" s="1"/>
  <c r="E125" i="12"/>
  <c r="G124" i="12"/>
  <c r="H124" i="12" s="1"/>
  <c r="E124" i="12"/>
  <c r="H123" i="12"/>
  <c r="G123" i="12"/>
  <c r="E123" i="12"/>
  <c r="G122" i="12"/>
  <c r="H122" i="12" s="1"/>
  <c r="E122" i="12"/>
  <c r="G121" i="12"/>
  <c r="H121" i="12" s="1"/>
  <c r="E121" i="12"/>
  <c r="G120" i="12"/>
  <c r="H120" i="12" s="1"/>
  <c r="E120" i="12"/>
  <c r="G119" i="12"/>
  <c r="H119" i="12" s="1"/>
  <c r="E119" i="12"/>
  <c r="G118" i="12"/>
  <c r="H118" i="12" s="1"/>
  <c r="E118" i="12"/>
  <c r="G117" i="12"/>
  <c r="H117" i="12" s="1"/>
  <c r="E117" i="12"/>
  <c r="G116" i="12"/>
  <c r="H116" i="12" s="1"/>
  <c r="E116" i="12"/>
  <c r="G115" i="12"/>
  <c r="H115" i="12" s="1"/>
  <c r="E115" i="12"/>
  <c r="G114" i="12"/>
  <c r="H114" i="12" s="1"/>
  <c r="E114" i="12"/>
  <c r="G113" i="12"/>
  <c r="H113" i="12" s="1"/>
  <c r="E113" i="12"/>
  <c r="G112" i="12"/>
  <c r="H112" i="12" s="1"/>
  <c r="E112" i="12"/>
  <c r="H111" i="12"/>
  <c r="G111" i="12"/>
  <c r="E111" i="12"/>
  <c r="G110" i="12"/>
  <c r="H110" i="12" s="1"/>
  <c r="E110" i="12"/>
  <c r="G109" i="12"/>
  <c r="H109" i="12" s="1"/>
  <c r="E109" i="12"/>
  <c r="G108" i="12"/>
  <c r="H108" i="12" s="1"/>
  <c r="E108" i="12"/>
  <c r="H107" i="12"/>
  <c r="G107" i="12"/>
  <c r="E107" i="12"/>
  <c r="G106" i="12"/>
  <c r="H106" i="12" s="1"/>
  <c r="E106" i="12"/>
  <c r="G105" i="12"/>
  <c r="H105" i="12" s="1"/>
  <c r="E105" i="12"/>
  <c r="G104" i="12"/>
  <c r="H104" i="12" s="1"/>
  <c r="E104" i="12"/>
  <c r="G103" i="12"/>
  <c r="H103" i="12" s="1"/>
  <c r="E103" i="12"/>
  <c r="G102" i="12"/>
  <c r="H102" i="12" s="1"/>
  <c r="E102" i="12"/>
  <c r="G101" i="12"/>
  <c r="H101" i="12" s="1"/>
  <c r="E101" i="12"/>
  <c r="G100" i="12"/>
  <c r="H100" i="12" s="1"/>
  <c r="E100" i="12"/>
  <c r="H99" i="12"/>
  <c r="G99" i="12"/>
  <c r="E99" i="12"/>
  <c r="G98" i="12"/>
  <c r="H98" i="12" s="1"/>
  <c r="E98" i="12"/>
  <c r="G97" i="12"/>
  <c r="H97" i="12" s="1"/>
  <c r="E97" i="12"/>
  <c r="G96" i="12"/>
  <c r="H96" i="12" s="1"/>
  <c r="E96" i="12"/>
  <c r="H95" i="12"/>
  <c r="G95" i="12"/>
  <c r="E95" i="12"/>
  <c r="G94" i="12"/>
  <c r="H94" i="12" s="1"/>
  <c r="E94" i="12"/>
  <c r="G93" i="12"/>
  <c r="H93" i="12" s="1"/>
  <c r="E93" i="12"/>
  <c r="G92" i="12"/>
  <c r="H92" i="12" s="1"/>
  <c r="E92" i="12"/>
  <c r="H91" i="12"/>
  <c r="G91" i="12"/>
  <c r="E91" i="12"/>
  <c r="G90" i="12"/>
  <c r="H90" i="12" s="1"/>
  <c r="E90" i="12"/>
  <c r="G89" i="12"/>
  <c r="H89" i="12" s="1"/>
  <c r="E89" i="12"/>
  <c r="G88" i="12"/>
  <c r="H88" i="12" s="1"/>
  <c r="E88" i="12"/>
  <c r="G87" i="12"/>
  <c r="H87" i="12" s="1"/>
  <c r="E87" i="12"/>
  <c r="G86" i="12"/>
  <c r="H86" i="12" s="1"/>
  <c r="E86" i="12"/>
  <c r="G85" i="12"/>
  <c r="H85" i="12" s="1"/>
  <c r="E85" i="12"/>
  <c r="G84" i="12"/>
  <c r="H84" i="12" s="1"/>
  <c r="E84" i="12"/>
  <c r="G83" i="12"/>
  <c r="H83" i="12" s="1"/>
  <c r="E83" i="12"/>
  <c r="G82" i="12"/>
  <c r="H82" i="12" s="1"/>
  <c r="E82" i="12"/>
  <c r="G81" i="12"/>
  <c r="H81" i="12" s="1"/>
  <c r="E81" i="12"/>
  <c r="G80" i="12"/>
  <c r="H80" i="12" s="1"/>
  <c r="E80" i="12"/>
  <c r="H79" i="12"/>
  <c r="G79" i="12"/>
  <c r="E79" i="12"/>
  <c r="G78" i="12"/>
  <c r="H78" i="12" s="1"/>
  <c r="E78" i="12"/>
  <c r="G77" i="12"/>
  <c r="H77" i="12" s="1"/>
  <c r="E77" i="12"/>
  <c r="G76" i="12"/>
  <c r="H76" i="12" s="1"/>
  <c r="E76" i="12"/>
  <c r="H75" i="12"/>
  <c r="G75" i="12"/>
  <c r="E75" i="12"/>
  <c r="G74" i="12"/>
  <c r="H74" i="12" s="1"/>
  <c r="E74" i="12"/>
  <c r="G73" i="12"/>
  <c r="H73" i="12" s="1"/>
  <c r="E73" i="12"/>
  <c r="G72" i="12"/>
  <c r="H72" i="12" s="1"/>
  <c r="E72" i="12"/>
  <c r="G71" i="12"/>
  <c r="H71" i="12" s="1"/>
  <c r="E71" i="12"/>
  <c r="G70" i="12"/>
  <c r="H70" i="12" s="1"/>
  <c r="E70" i="12"/>
  <c r="G69" i="12"/>
  <c r="H69" i="12" s="1"/>
  <c r="E69" i="12"/>
  <c r="G68" i="12"/>
  <c r="H68" i="12" s="1"/>
  <c r="E68" i="12"/>
  <c r="H67" i="12"/>
  <c r="G67" i="12"/>
  <c r="E67" i="12"/>
  <c r="G66" i="12"/>
  <c r="H66" i="12" s="1"/>
  <c r="E66" i="12"/>
  <c r="G65" i="12"/>
  <c r="H65" i="12" s="1"/>
  <c r="E65" i="12"/>
  <c r="G64" i="12"/>
  <c r="H64" i="12" s="1"/>
  <c r="E64" i="12"/>
  <c r="H63" i="12"/>
  <c r="G63" i="12"/>
  <c r="E63" i="12"/>
  <c r="G62" i="12"/>
  <c r="H62" i="12" s="1"/>
  <c r="E62" i="12"/>
  <c r="G61" i="12"/>
  <c r="H61" i="12" s="1"/>
  <c r="E61" i="12"/>
  <c r="G60" i="12"/>
  <c r="H60" i="12" s="1"/>
  <c r="E60" i="12"/>
  <c r="H59" i="12"/>
  <c r="G59" i="12"/>
  <c r="E59" i="12"/>
  <c r="G58" i="12"/>
  <c r="H58" i="12" s="1"/>
  <c r="E58" i="12"/>
  <c r="G57" i="12"/>
  <c r="H57" i="12" s="1"/>
  <c r="E57" i="12"/>
  <c r="G56" i="12"/>
  <c r="H56" i="12" s="1"/>
  <c r="E56" i="12"/>
  <c r="G55" i="12"/>
  <c r="H55" i="12" s="1"/>
  <c r="E55" i="12"/>
  <c r="G54" i="12"/>
  <c r="H54" i="12" s="1"/>
  <c r="E54" i="12"/>
  <c r="G53" i="12"/>
  <c r="H53" i="12" s="1"/>
  <c r="E53" i="12"/>
  <c r="G52" i="12"/>
  <c r="H52" i="12" s="1"/>
  <c r="E52" i="12"/>
  <c r="G51" i="12"/>
  <c r="H51" i="12" s="1"/>
  <c r="E51" i="12"/>
  <c r="G50" i="12"/>
  <c r="H50" i="12" s="1"/>
  <c r="E50" i="12"/>
  <c r="G49" i="12"/>
  <c r="H49" i="12" s="1"/>
  <c r="E49" i="12"/>
  <c r="G48" i="12"/>
  <c r="H48" i="12" s="1"/>
  <c r="E48" i="12"/>
  <c r="H47" i="12"/>
  <c r="G47" i="12"/>
  <c r="E47" i="12"/>
  <c r="G46" i="12"/>
  <c r="H46" i="12" s="1"/>
  <c r="E46" i="12"/>
  <c r="G45" i="12"/>
  <c r="H45" i="12" s="1"/>
  <c r="E45" i="12"/>
  <c r="G44" i="12"/>
  <c r="H44" i="12" s="1"/>
  <c r="E44" i="12"/>
  <c r="H43" i="12"/>
  <c r="G43" i="12"/>
  <c r="E43" i="12"/>
  <c r="G42" i="12"/>
  <c r="H42" i="12" s="1"/>
  <c r="E42" i="12"/>
  <c r="G41" i="12"/>
  <c r="H41" i="12" s="1"/>
  <c r="E41" i="12"/>
  <c r="G40" i="12"/>
  <c r="H40" i="12" s="1"/>
  <c r="E40" i="12"/>
  <c r="G39" i="12"/>
  <c r="H39" i="12" s="1"/>
  <c r="E39" i="12"/>
  <c r="G38" i="12"/>
  <c r="H38" i="12" s="1"/>
  <c r="E38" i="12"/>
  <c r="G37" i="12"/>
  <c r="H37" i="12" s="1"/>
  <c r="E37" i="12"/>
  <c r="G36" i="12"/>
  <c r="H36" i="12" s="1"/>
  <c r="E36" i="12"/>
  <c r="H35" i="12"/>
  <c r="G35" i="12"/>
  <c r="E35" i="12"/>
  <c r="G34" i="12"/>
  <c r="H34" i="12" s="1"/>
  <c r="E34" i="12"/>
  <c r="G33" i="12"/>
  <c r="H33" i="12" s="1"/>
  <c r="E33" i="12"/>
  <c r="G32" i="12"/>
  <c r="H32" i="12" s="1"/>
  <c r="E32" i="12"/>
  <c r="H31" i="12"/>
  <c r="G31" i="12"/>
  <c r="E31" i="12"/>
  <c r="G30" i="12"/>
  <c r="H30" i="12" s="1"/>
  <c r="E30" i="12"/>
  <c r="G29" i="12"/>
  <c r="H29" i="12" s="1"/>
  <c r="E29" i="12"/>
  <c r="G28" i="12"/>
  <c r="H28" i="12" s="1"/>
  <c r="E28" i="12"/>
  <c r="H27" i="12"/>
  <c r="G27" i="12"/>
  <c r="E27" i="12"/>
  <c r="G26" i="12"/>
  <c r="H26" i="12" s="1"/>
  <c r="E26" i="12"/>
  <c r="G25" i="12"/>
  <c r="H25" i="12" s="1"/>
  <c r="E25" i="12"/>
  <c r="G24" i="12"/>
  <c r="H24" i="12" s="1"/>
  <c r="E24" i="12"/>
  <c r="G23" i="12"/>
  <c r="H23" i="12" s="1"/>
  <c r="E23" i="12"/>
  <c r="G22" i="12"/>
  <c r="H22" i="12" s="1"/>
  <c r="E22" i="12"/>
  <c r="G21" i="12"/>
  <c r="H21" i="12" s="1"/>
  <c r="E21" i="12"/>
  <c r="G20" i="12"/>
  <c r="H20" i="12" s="1"/>
  <c r="E20" i="12"/>
  <c r="G19" i="12"/>
  <c r="H19" i="12" s="1"/>
  <c r="E19" i="12"/>
  <c r="G18" i="12"/>
  <c r="H18" i="12" s="1"/>
  <c r="E18" i="12"/>
  <c r="G17" i="12"/>
  <c r="H17" i="12" s="1"/>
  <c r="E17" i="12"/>
  <c r="G16" i="12"/>
  <c r="H16" i="12" s="1"/>
  <c r="E16" i="12"/>
  <c r="H15" i="12"/>
  <c r="G15" i="12"/>
  <c r="E15" i="12"/>
  <c r="G14" i="12"/>
  <c r="H14" i="12" s="1"/>
  <c r="E14" i="12"/>
  <c r="G13" i="12"/>
  <c r="H13" i="12" s="1"/>
  <c r="E13" i="12"/>
  <c r="G12" i="12"/>
  <c r="H12" i="12" s="1"/>
  <c r="E12" i="12"/>
  <c r="H11" i="12"/>
  <c r="G11" i="12"/>
  <c r="E11" i="12"/>
  <c r="G10" i="12"/>
  <c r="H10" i="12" s="1"/>
  <c r="E10" i="12"/>
  <c r="G9" i="12"/>
  <c r="H9" i="12" s="1"/>
  <c r="E9" i="12"/>
  <c r="G8" i="12"/>
  <c r="H8" i="12" s="1"/>
  <c r="E8" i="12"/>
  <c r="G7" i="12"/>
  <c r="H7" i="12" s="1"/>
  <c r="E7" i="12"/>
  <c r="G6" i="12"/>
  <c r="H6" i="12" s="1"/>
  <c r="E6" i="12"/>
  <c r="G5" i="12"/>
  <c r="H5" i="12" s="1"/>
  <c r="E5" i="12"/>
  <c r="G4" i="12"/>
  <c r="H4" i="12" s="1"/>
  <c r="E4" i="12"/>
  <c r="H3" i="12"/>
  <c r="G3" i="12"/>
  <c r="E3" i="12"/>
  <c r="G2" i="12"/>
  <c r="H2" i="12" s="1"/>
  <c r="E2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</author>
  </authors>
  <commentList>
    <comment ref="B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 to 50 and 51</t>
        </r>
      </text>
    </comment>
    <comment ref="C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100 to 125</t>
        </r>
      </text>
    </comment>
    <comment ref="D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=randbetween(DATE(2015,1,1),DATE(2017,12,31)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</author>
  </authors>
  <commentList>
    <comment ref="B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 to 50 and 51</t>
        </r>
      </text>
    </comment>
    <comment ref="C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100 to 125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Mar:</t>
        </r>
        <r>
          <rPr>
            <sz val="9"/>
            <color indexed="81"/>
            <rFont val="Tahoma"/>
            <family val="2"/>
          </rPr>
          <t xml:space="preserve">
=randbetween(DATE(2015,1,1),DATE(2017,12,31)</t>
        </r>
      </text>
    </comment>
  </commentList>
</comments>
</file>

<file path=xl/sharedStrings.xml><?xml version="1.0" encoding="utf-8"?>
<sst xmlns="http://schemas.openxmlformats.org/spreadsheetml/2006/main" count="186" uniqueCount="80">
  <si>
    <t>In an object-oriented language, the objects (nouns) are most important, hence the name: object-oriented.</t>
  </si>
  <si>
    <t>If you were going to write code for instructions to play soccer with VBA, the basic structure would be as follows: Ball.Kick</t>
  </si>
  <si>
    <t>"Kick the ball."</t>
  </si>
  <si>
    <t>You have a noun (Ball), which comes first. In VBA, this is an object.  Then you have the verb (Kick), which comes next. In VBA, this is a method.</t>
  </si>
  <si>
    <t>The basic structure of VBA is a bunch of lines of code with this syntax: Object.Method</t>
  </si>
  <si>
    <t>No one uses "noun–verb" to tell someone to do something: Water.Drink, Food.Eat, Girl.Kiss.</t>
  </si>
  <si>
    <t>Selection.End(xlDown).Select</t>
  </si>
  <si>
    <t>Selection.End(xlDown).Offset(1,0).Select</t>
  </si>
  <si>
    <t>Press F2 for Object Browser.</t>
  </si>
  <si>
    <t>abc</t>
  </si>
  <si>
    <t>der</t>
  </si>
  <si>
    <t>Range Hierarchy</t>
  </si>
  <si>
    <t>Worksheet 3 is the second worksheet then another way reference Range</t>
  </si>
  <si>
    <t>Apples</t>
  </si>
  <si>
    <t>Oranges</t>
  </si>
  <si>
    <t>Grapefruit</t>
  </si>
  <si>
    <t>Lemons</t>
  </si>
  <si>
    <t>Low</t>
  </si>
  <si>
    <t>Empty</t>
  </si>
  <si>
    <t>table</t>
  </si>
  <si>
    <t>ID</t>
  </si>
  <si>
    <t>name</t>
  </si>
  <si>
    <t>letter</t>
  </si>
  <si>
    <t>Raymond</t>
  </si>
  <si>
    <t>James</t>
  </si>
  <si>
    <t>Michelle</t>
  </si>
  <si>
    <t>t</t>
  </si>
  <si>
    <t>g</t>
  </si>
  <si>
    <t>p</t>
  </si>
  <si>
    <t>even</t>
  </si>
  <si>
    <t>s53</t>
  </si>
  <si>
    <t>John Smith</t>
  </si>
  <si>
    <t>123 Main Street</t>
  </si>
  <si>
    <t>Akron, OH 44308</t>
  </si>
  <si>
    <t>Jane Doe</t>
  </si>
  <si>
    <t>246 State Street</t>
  </si>
  <si>
    <t>Merrit Island, FL 32953</t>
  </si>
  <si>
    <t>Ralph Emerson</t>
  </si>
  <si>
    <t>345 2nd Avenue</t>
  </si>
  <si>
    <t>New York, NY 10011</t>
  </si>
  <si>
    <t>George Washington</t>
  </si>
  <si>
    <t>456 3rd Street</t>
  </si>
  <si>
    <t>Phildelphia, PA 12345</t>
  </si>
  <si>
    <t>Occupied</t>
  </si>
  <si>
    <t>Herb</t>
  </si>
  <si>
    <t>Vegetable</t>
  </si>
  <si>
    <t>Fruit</t>
  </si>
  <si>
    <t>the 50s</t>
  </si>
  <si>
    <t>the 75s</t>
  </si>
  <si>
    <t>big</t>
  </si>
  <si>
    <t>the 20s</t>
  </si>
  <si>
    <t>These are events under the right drop down box.</t>
  </si>
  <si>
    <t>Workbooks events include Workbook_Activate, Workbook_Open, Workbook_AfterSave.</t>
  </si>
  <si>
    <t>RM:  skipped chapter 7 Event Programming.  Concentrating on the basics.</t>
  </si>
  <si>
    <t>Chapter includes Application Events and Chart Events.</t>
  </si>
  <si>
    <t>RM:  skipped chapter 9 Createing Classes and Collections.  Concentrating on the basics.</t>
  </si>
  <si>
    <t>Default3</t>
  </si>
  <si>
    <t>No</t>
  </si>
  <si>
    <t>productid</t>
  </si>
  <si>
    <t>price</t>
  </si>
  <si>
    <t>salesid</t>
  </si>
  <si>
    <t>customerid</t>
  </si>
  <si>
    <t>salesdate</t>
  </si>
  <si>
    <t>country</t>
  </si>
  <si>
    <t>quantity</t>
  </si>
  <si>
    <t>revenue</t>
  </si>
  <si>
    <t>Skipped Chapter 12 Using VBA to Create Pivot Tables</t>
  </si>
  <si>
    <t>RM:  I don't need to know how.  Maybe later?</t>
  </si>
  <si>
    <t>Progress made</t>
  </si>
  <si>
    <t>Progress required</t>
  </si>
  <si>
    <t>third array of three</t>
  </si>
  <si>
    <t>More VBA code.  Excel Custom Functions.</t>
  </si>
  <si>
    <t>Creating Charts</t>
  </si>
  <si>
    <t>Data Visualizations and Conditional Formatting</t>
  </si>
  <si>
    <t>Dashboarding with Sparklines in Excel 2016</t>
  </si>
  <si>
    <t>RM:  book is satisifed.</t>
  </si>
  <si>
    <t>sdfa</t>
    <phoneticPr fontId="5" type="noConversion"/>
  </si>
  <si>
    <t>asdf</t>
    <phoneticPr fontId="5" type="noConversion"/>
  </si>
  <si>
    <t>f</t>
    <phoneticPr fontId="5" type="noConversion"/>
  </si>
  <si>
    <t>sdf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</si>
</sst>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맑은 고딕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4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9</xdr:col>
      <xdr:colOff>219075</xdr:colOff>
      <xdr:row>24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76500"/>
          <a:ext cx="57054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aymond\Excel%20Files%202GB%20Backup%20010718\Google%20Data%20Analyst%20Tabl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"/>
      <sheetName val="products"/>
      <sheetName val="pivottables"/>
      <sheetName val="information"/>
    </sheetNames>
    <sheetDataSet>
      <sheetData sheetId="0"/>
      <sheetData sheetId="1">
        <row r="2">
          <cell r="B2">
            <v>100</v>
          </cell>
          <cell r="C2" t="str">
            <v>rose</v>
          </cell>
          <cell r="D2">
            <v>24.23</v>
          </cell>
          <cell r="E2">
            <v>30.29</v>
          </cell>
        </row>
        <row r="3">
          <cell r="B3">
            <v>101</v>
          </cell>
          <cell r="C3" t="str">
            <v>board game</v>
          </cell>
          <cell r="D3">
            <v>86.89</v>
          </cell>
          <cell r="E3">
            <v>108.61</v>
          </cell>
        </row>
        <row r="4">
          <cell r="B4">
            <v>102</v>
          </cell>
          <cell r="C4" t="str">
            <v>pot</v>
          </cell>
          <cell r="D4">
            <v>11.95</v>
          </cell>
          <cell r="E4">
            <v>14.94</v>
          </cell>
        </row>
        <row r="5">
          <cell r="B5">
            <v>103</v>
          </cell>
          <cell r="C5" t="str">
            <v>cookies</v>
          </cell>
          <cell r="D5">
            <v>87.17</v>
          </cell>
          <cell r="E5">
            <v>108.96</v>
          </cell>
        </row>
        <row r="6">
          <cell r="B6">
            <v>104</v>
          </cell>
          <cell r="C6" t="str">
            <v>DVD</v>
          </cell>
          <cell r="D6">
            <v>97.74</v>
          </cell>
          <cell r="E6">
            <v>122.18</v>
          </cell>
        </row>
        <row r="7">
          <cell r="B7">
            <v>105</v>
          </cell>
          <cell r="C7" t="str">
            <v>phone</v>
          </cell>
          <cell r="D7">
            <v>119.94</v>
          </cell>
          <cell r="E7">
            <v>149.93</v>
          </cell>
        </row>
        <row r="8">
          <cell r="B8">
            <v>106</v>
          </cell>
          <cell r="C8" t="str">
            <v>underwear</v>
          </cell>
          <cell r="D8">
            <v>106.3</v>
          </cell>
          <cell r="E8">
            <v>132.88</v>
          </cell>
        </row>
        <row r="9">
          <cell r="B9">
            <v>107</v>
          </cell>
          <cell r="C9" t="str">
            <v>bedsheet</v>
          </cell>
          <cell r="D9">
            <v>34.479999999999997</v>
          </cell>
          <cell r="E9">
            <v>43.1</v>
          </cell>
        </row>
        <row r="10">
          <cell r="B10">
            <v>108</v>
          </cell>
          <cell r="C10" t="str">
            <v>zebra</v>
          </cell>
          <cell r="D10">
            <v>110.38</v>
          </cell>
          <cell r="E10">
            <v>137.97999999999999</v>
          </cell>
        </row>
        <row r="11">
          <cell r="B11">
            <v>109</v>
          </cell>
          <cell r="C11" t="str">
            <v>apple</v>
          </cell>
          <cell r="D11">
            <v>115.18</v>
          </cell>
          <cell r="E11">
            <v>143.97999999999999</v>
          </cell>
        </row>
        <row r="12">
          <cell r="B12">
            <v>110</v>
          </cell>
          <cell r="C12" t="str">
            <v>flashlight</v>
          </cell>
          <cell r="D12">
            <v>8.61</v>
          </cell>
          <cell r="E12">
            <v>10.76</v>
          </cell>
        </row>
        <row r="13">
          <cell r="B13">
            <v>111</v>
          </cell>
          <cell r="C13" t="str">
            <v>book</v>
          </cell>
          <cell r="D13">
            <v>119.94</v>
          </cell>
          <cell r="E13">
            <v>149.93</v>
          </cell>
        </row>
        <row r="14">
          <cell r="B14">
            <v>112</v>
          </cell>
          <cell r="C14" t="str">
            <v>plant</v>
          </cell>
          <cell r="D14">
            <v>85.04</v>
          </cell>
          <cell r="E14">
            <v>106.3</v>
          </cell>
        </row>
        <row r="15">
          <cell r="B15">
            <v>113</v>
          </cell>
          <cell r="C15" t="str">
            <v>chair</v>
          </cell>
          <cell r="D15">
            <v>7.91</v>
          </cell>
          <cell r="E15">
            <v>9.89</v>
          </cell>
        </row>
        <row r="16">
          <cell r="B16">
            <v>114</v>
          </cell>
          <cell r="C16" t="str">
            <v>mop</v>
          </cell>
          <cell r="D16">
            <v>59.5</v>
          </cell>
          <cell r="E16">
            <v>74.38</v>
          </cell>
        </row>
        <row r="17">
          <cell r="B17">
            <v>115</v>
          </cell>
          <cell r="C17" t="str">
            <v>piano</v>
          </cell>
          <cell r="D17">
            <v>18.04</v>
          </cell>
          <cell r="E17">
            <v>22.55</v>
          </cell>
        </row>
        <row r="18">
          <cell r="B18">
            <v>116</v>
          </cell>
          <cell r="C18" t="str">
            <v>luggage</v>
          </cell>
          <cell r="D18">
            <v>109.76</v>
          </cell>
          <cell r="E18">
            <v>137.19999999999999</v>
          </cell>
        </row>
        <row r="19">
          <cell r="B19">
            <v>117</v>
          </cell>
          <cell r="C19" t="str">
            <v>fork</v>
          </cell>
          <cell r="D19">
            <v>37.9</v>
          </cell>
          <cell r="E19">
            <v>47.38</v>
          </cell>
        </row>
        <row r="20">
          <cell r="B20">
            <v>118</v>
          </cell>
          <cell r="C20" t="str">
            <v>candle</v>
          </cell>
          <cell r="D20">
            <v>45.18</v>
          </cell>
          <cell r="E20">
            <v>56.48</v>
          </cell>
        </row>
        <row r="21">
          <cell r="B21">
            <v>119</v>
          </cell>
          <cell r="C21" t="str">
            <v>jacket</v>
          </cell>
          <cell r="D21">
            <v>59.64</v>
          </cell>
          <cell r="E21">
            <v>74.55</v>
          </cell>
        </row>
        <row r="22">
          <cell r="B22">
            <v>120</v>
          </cell>
          <cell r="C22" t="str">
            <v>glasses</v>
          </cell>
          <cell r="D22">
            <v>13.7</v>
          </cell>
          <cell r="E22">
            <v>17.13</v>
          </cell>
        </row>
        <row r="23">
          <cell r="B23">
            <v>121</v>
          </cell>
          <cell r="C23" t="str">
            <v>soap</v>
          </cell>
          <cell r="D23">
            <v>39.270000000000003</v>
          </cell>
          <cell r="E23">
            <v>49.09</v>
          </cell>
        </row>
        <row r="24">
          <cell r="B24">
            <v>122</v>
          </cell>
          <cell r="C24" t="str">
            <v>fan</v>
          </cell>
          <cell r="D24">
            <v>26.11</v>
          </cell>
          <cell r="E24">
            <v>32.64</v>
          </cell>
        </row>
        <row r="25">
          <cell r="B25">
            <v>123</v>
          </cell>
          <cell r="C25" t="str">
            <v>toilet paper</v>
          </cell>
          <cell r="D25">
            <v>31.74</v>
          </cell>
          <cell r="E25">
            <v>39.67</v>
          </cell>
        </row>
        <row r="26">
          <cell r="B26">
            <v>124</v>
          </cell>
          <cell r="C26" t="str">
            <v>trail mix</v>
          </cell>
          <cell r="D26">
            <v>86.83</v>
          </cell>
          <cell r="E26">
            <v>108.54</v>
          </cell>
        </row>
        <row r="27">
          <cell r="B27">
            <v>125</v>
          </cell>
          <cell r="C27" t="str">
            <v>car</v>
          </cell>
          <cell r="D27">
            <v>72.349999999999994</v>
          </cell>
          <cell r="E27">
            <v>90.44</v>
          </cell>
        </row>
      </sheetData>
      <sheetData sheetId="2">
        <row r="2">
          <cell r="F2">
            <v>1</v>
          </cell>
          <cell r="G2" t="str">
            <v>FRA</v>
          </cell>
        </row>
        <row r="3">
          <cell r="F3">
            <v>2</v>
          </cell>
          <cell r="G3" t="str">
            <v>CZE</v>
          </cell>
        </row>
        <row r="4">
          <cell r="F4">
            <v>3</v>
          </cell>
          <cell r="G4" t="str">
            <v>NLD</v>
          </cell>
        </row>
        <row r="5">
          <cell r="F5">
            <v>4</v>
          </cell>
          <cell r="G5" t="str">
            <v>ITA</v>
          </cell>
        </row>
        <row r="6">
          <cell r="F6">
            <v>5</v>
          </cell>
          <cell r="G6" t="str">
            <v>USA</v>
          </cell>
        </row>
        <row r="7">
          <cell r="F7">
            <v>6</v>
          </cell>
          <cell r="G7" t="str">
            <v>CAN</v>
          </cell>
        </row>
        <row r="8">
          <cell r="F8">
            <v>7</v>
          </cell>
          <cell r="G8" t="str">
            <v>CAN</v>
          </cell>
        </row>
        <row r="9">
          <cell r="F9">
            <v>8</v>
          </cell>
          <cell r="G9" t="str">
            <v>CZE</v>
          </cell>
        </row>
        <row r="10">
          <cell r="F10">
            <v>9</v>
          </cell>
          <cell r="G10" t="str">
            <v>HUN</v>
          </cell>
        </row>
        <row r="11">
          <cell r="F11">
            <v>10</v>
          </cell>
          <cell r="G11" t="str">
            <v>NLD</v>
          </cell>
        </row>
        <row r="12">
          <cell r="F12">
            <v>11</v>
          </cell>
          <cell r="G12" t="str">
            <v>ITA</v>
          </cell>
        </row>
        <row r="13">
          <cell r="F13">
            <v>12</v>
          </cell>
          <cell r="G13" t="str">
            <v>FRA</v>
          </cell>
        </row>
        <row r="14">
          <cell r="F14">
            <v>13</v>
          </cell>
          <cell r="G14" t="str">
            <v>GBR</v>
          </cell>
        </row>
        <row r="15">
          <cell r="F15">
            <v>14</v>
          </cell>
          <cell r="G15" t="str">
            <v>CZE</v>
          </cell>
        </row>
        <row r="16">
          <cell r="F16">
            <v>15</v>
          </cell>
          <cell r="G16" t="str">
            <v>HUN</v>
          </cell>
        </row>
        <row r="17">
          <cell r="F17">
            <v>16</v>
          </cell>
          <cell r="G17" t="str">
            <v>JPN</v>
          </cell>
        </row>
        <row r="18">
          <cell r="F18">
            <v>17</v>
          </cell>
          <cell r="G18" t="str">
            <v>CAN</v>
          </cell>
        </row>
        <row r="19">
          <cell r="F19">
            <v>18</v>
          </cell>
          <cell r="G19" t="str">
            <v>JPN</v>
          </cell>
        </row>
        <row r="20">
          <cell r="F20">
            <v>19</v>
          </cell>
          <cell r="G20" t="str">
            <v>NLD</v>
          </cell>
        </row>
        <row r="21">
          <cell r="F21">
            <v>20</v>
          </cell>
          <cell r="G21" t="str">
            <v>FRA</v>
          </cell>
        </row>
        <row r="22">
          <cell r="F22">
            <v>21</v>
          </cell>
          <cell r="G22" t="str">
            <v>HUN</v>
          </cell>
        </row>
        <row r="23">
          <cell r="F23">
            <v>22</v>
          </cell>
          <cell r="G23" t="str">
            <v>FRA</v>
          </cell>
        </row>
        <row r="24">
          <cell r="F24">
            <v>23</v>
          </cell>
          <cell r="G24" t="str">
            <v>GBR</v>
          </cell>
        </row>
        <row r="25">
          <cell r="F25">
            <v>24</v>
          </cell>
          <cell r="G25" t="str">
            <v>NLD</v>
          </cell>
        </row>
        <row r="26">
          <cell r="F26">
            <v>25</v>
          </cell>
          <cell r="G26" t="str">
            <v>CHN</v>
          </cell>
        </row>
        <row r="27">
          <cell r="F27">
            <v>26</v>
          </cell>
          <cell r="G27" t="str">
            <v>NLD</v>
          </cell>
        </row>
        <row r="28">
          <cell r="F28">
            <v>27</v>
          </cell>
          <cell r="G28" t="str">
            <v>ITA</v>
          </cell>
        </row>
        <row r="29">
          <cell r="F29">
            <v>28</v>
          </cell>
          <cell r="G29" t="str">
            <v>FRA</v>
          </cell>
        </row>
        <row r="30">
          <cell r="F30">
            <v>29</v>
          </cell>
          <cell r="G30" t="str">
            <v>FRA</v>
          </cell>
        </row>
        <row r="31">
          <cell r="F31">
            <v>30</v>
          </cell>
          <cell r="G31" t="str">
            <v>FRA</v>
          </cell>
        </row>
        <row r="32">
          <cell r="F32">
            <v>31</v>
          </cell>
          <cell r="G32" t="str">
            <v>GBR</v>
          </cell>
        </row>
        <row r="33">
          <cell r="F33">
            <v>32</v>
          </cell>
          <cell r="G33" t="str">
            <v>NLD</v>
          </cell>
        </row>
        <row r="34">
          <cell r="F34">
            <v>33</v>
          </cell>
          <cell r="G34" t="str">
            <v>NLD</v>
          </cell>
        </row>
        <row r="35">
          <cell r="F35">
            <v>34</v>
          </cell>
          <cell r="G35" t="str">
            <v>CAN</v>
          </cell>
        </row>
        <row r="36">
          <cell r="F36">
            <v>35</v>
          </cell>
          <cell r="G36" t="str">
            <v>JPN</v>
          </cell>
        </row>
        <row r="37">
          <cell r="F37">
            <v>36</v>
          </cell>
          <cell r="G37" t="str">
            <v>FRA</v>
          </cell>
        </row>
        <row r="38">
          <cell r="F38">
            <v>37</v>
          </cell>
          <cell r="G38" t="str">
            <v>GBR</v>
          </cell>
        </row>
        <row r="39">
          <cell r="F39">
            <v>38</v>
          </cell>
          <cell r="G39" t="str">
            <v>USA</v>
          </cell>
        </row>
        <row r="40">
          <cell r="F40">
            <v>39</v>
          </cell>
          <cell r="G40" t="str">
            <v>GBR</v>
          </cell>
        </row>
        <row r="41">
          <cell r="F41">
            <v>40</v>
          </cell>
          <cell r="G41" t="str">
            <v>JPN</v>
          </cell>
        </row>
        <row r="42">
          <cell r="F42">
            <v>41</v>
          </cell>
          <cell r="G42" t="str">
            <v>FRA</v>
          </cell>
        </row>
        <row r="43">
          <cell r="F43">
            <v>42</v>
          </cell>
          <cell r="G43" t="str">
            <v>HUN</v>
          </cell>
        </row>
        <row r="44">
          <cell r="F44">
            <v>43</v>
          </cell>
          <cell r="G44" t="str">
            <v>FRA</v>
          </cell>
        </row>
        <row r="45">
          <cell r="F45">
            <v>44</v>
          </cell>
          <cell r="G45" t="str">
            <v>CHN</v>
          </cell>
        </row>
        <row r="46">
          <cell r="F46">
            <v>45</v>
          </cell>
          <cell r="G46" t="str">
            <v>NLD</v>
          </cell>
        </row>
        <row r="47">
          <cell r="F47">
            <v>46</v>
          </cell>
          <cell r="G47" t="str">
            <v>JPN</v>
          </cell>
        </row>
        <row r="48">
          <cell r="F48">
            <v>47</v>
          </cell>
          <cell r="G48" t="str">
            <v>CHN</v>
          </cell>
        </row>
        <row r="49">
          <cell r="F49">
            <v>48</v>
          </cell>
          <cell r="G49" t="str">
            <v>GBR</v>
          </cell>
        </row>
        <row r="50">
          <cell r="F50">
            <v>49</v>
          </cell>
          <cell r="G50" t="str">
            <v>JPN</v>
          </cell>
        </row>
        <row r="51">
          <cell r="F51">
            <v>50</v>
          </cell>
          <cell r="G51" t="str">
            <v>NLD</v>
          </cell>
        </row>
        <row r="52">
          <cell r="F52">
            <v>51</v>
          </cell>
          <cell r="G52" t="str">
            <v>HUN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H10:J13" totalsRowShown="0">
  <autoFilter ref="H10:J13" xr:uid="{00000000-0009-0000-0100-000001000000}"/>
  <tableColumns count="3">
    <tableColumn id="1" xr3:uid="{00000000-0010-0000-0000-000001000000}" name="ID"/>
    <tableColumn id="2" xr3:uid="{00000000-0010-0000-0000-000002000000}" name="name"/>
    <tableColumn id="3" xr3:uid="{00000000-0010-0000-0000-000003000000}" name="lett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5"/>
  <sheetViews>
    <sheetView workbookViewId="0">
      <selection activeCell="K1" sqref="K1"/>
    </sheetView>
  </sheetViews>
  <sheetFormatPr defaultRowHeight="16.5" x14ac:dyDescent="0.3"/>
  <sheetData>
    <row r="1" spans="1:10" x14ac:dyDescent="0.3">
      <c r="A1" t="s">
        <v>2</v>
      </c>
      <c r="C1" t="s">
        <v>2</v>
      </c>
      <c r="J1" t="s">
        <v>2</v>
      </c>
    </row>
    <row r="2" spans="1:10" x14ac:dyDescent="0.3">
      <c r="A2" t="s">
        <v>0</v>
      </c>
      <c r="J2" t="s">
        <v>0</v>
      </c>
    </row>
    <row r="3" spans="1:10" x14ac:dyDescent="0.3">
      <c r="A3" t="s">
        <v>1</v>
      </c>
      <c r="J3" t="s">
        <v>1</v>
      </c>
    </row>
    <row r="4" spans="1:10" x14ac:dyDescent="0.3">
      <c r="A4" t="s">
        <v>3</v>
      </c>
      <c r="J4" t="s">
        <v>3</v>
      </c>
    </row>
    <row r="5" spans="1:10" x14ac:dyDescent="0.3">
      <c r="A5" t="s">
        <v>4</v>
      </c>
      <c r="J5" t="s">
        <v>4</v>
      </c>
    </row>
    <row r="6" spans="1:10" x14ac:dyDescent="0.3">
      <c r="A6" t="s">
        <v>5</v>
      </c>
      <c r="J6" t="s">
        <v>5</v>
      </c>
    </row>
    <row r="27" spans="1:3" x14ac:dyDescent="0.3">
      <c r="A27" t="s">
        <v>6</v>
      </c>
    </row>
    <row r="28" spans="1:3" x14ac:dyDescent="0.3">
      <c r="A28" t="s">
        <v>7</v>
      </c>
    </row>
    <row r="29" spans="1:3" x14ac:dyDescent="0.3">
      <c r="A29" t="s">
        <v>8</v>
      </c>
    </row>
    <row r="31" spans="1:3" x14ac:dyDescent="0.3">
      <c r="A31" s="1" t="s">
        <v>9</v>
      </c>
      <c r="C31" t="s">
        <v>10</v>
      </c>
    </row>
    <row r="32" spans="1:3" x14ac:dyDescent="0.3">
      <c r="A32" s="1" t="s">
        <v>9</v>
      </c>
      <c r="C32" t="s">
        <v>10</v>
      </c>
    </row>
    <row r="33" spans="1:3" x14ac:dyDescent="0.3">
      <c r="A33" s="1" t="s">
        <v>9</v>
      </c>
      <c r="C33" t="s">
        <v>10</v>
      </c>
    </row>
    <row r="34" spans="1:3" x14ac:dyDescent="0.3">
      <c r="A34" s="1" t="s">
        <v>9</v>
      </c>
      <c r="C34" t="s">
        <v>10</v>
      </c>
    </row>
    <row r="35" spans="1:3" x14ac:dyDescent="0.3">
      <c r="A35" s="1" t="s">
        <v>9</v>
      </c>
      <c r="C35" t="s">
        <v>10</v>
      </c>
    </row>
  </sheetData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3"/>
  <sheetViews>
    <sheetView workbookViewId="0">
      <selection activeCell="M12" sqref="M12"/>
    </sheetView>
  </sheetViews>
  <sheetFormatPr defaultRowHeight="16.5" x14ac:dyDescent="0.3"/>
  <sheetData>
    <row r="1" spans="1:10" x14ac:dyDescent="0.3">
      <c r="E1" s="4">
        <v>1</v>
      </c>
      <c r="H1" t="s">
        <v>19</v>
      </c>
      <c r="I1" t="s">
        <v>19</v>
      </c>
      <c r="J1" t="s">
        <v>19</v>
      </c>
    </row>
    <row r="2" spans="1:10" x14ac:dyDescent="0.3">
      <c r="E2" s="4">
        <v>2</v>
      </c>
      <c r="H2" t="s">
        <v>19</v>
      </c>
      <c r="I2" t="s">
        <v>19</v>
      </c>
      <c r="J2" t="s">
        <v>19</v>
      </c>
    </row>
    <row r="3" spans="1:10" x14ac:dyDescent="0.3">
      <c r="E3" s="4">
        <v>3</v>
      </c>
      <c r="H3" t="s">
        <v>19</v>
      </c>
      <c r="I3" t="s">
        <v>19</v>
      </c>
      <c r="J3" t="s">
        <v>19</v>
      </c>
    </row>
    <row r="4" spans="1:10" x14ac:dyDescent="0.3">
      <c r="E4" s="4">
        <v>4</v>
      </c>
      <c r="H4" t="s">
        <v>19</v>
      </c>
      <c r="I4" t="s">
        <v>19</v>
      </c>
      <c r="J4" t="s">
        <v>19</v>
      </c>
    </row>
    <row r="5" spans="1:10" x14ac:dyDescent="0.3">
      <c r="A5" t="s">
        <v>11</v>
      </c>
      <c r="E5" s="4"/>
      <c r="F5" t="s">
        <v>18</v>
      </c>
      <c r="H5" t="s">
        <v>19</v>
      </c>
      <c r="I5" t="s">
        <v>19</v>
      </c>
      <c r="J5" t="s">
        <v>19</v>
      </c>
    </row>
    <row r="6" spans="1:10" x14ac:dyDescent="0.3">
      <c r="B6" t="s">
        <v>12</v>
      </c>
      <c r="E6" s="4">
        <v>6</v>
      </c>
      <c r="H6" t="s">
        <v>19</v>
      </c>
      <c r="I6" t="s">
        <v>19</v>
      </c>
      <c r="J6" t="s">
        <v>19</v>
      </c>
    </row>
    <row r="7" spans="1:10" x14ac:dyDescent="0.3">
      <c r="E7" s="4">
        <v>7</v>
      </c>
      <c r="H7" t="s">
        <v>19</v>
      </c>
      <c r="I7" t="s">
        <v>19</v>
      </c>
      <c r="J7" t="s">
        <v>19</v>
      </c>
    </row>
    <row r="8" spans="1:10" x14ac:dyDescent="0.3">
      <c r="E8" s="4"/>
      <c r="F8" t="s">
        <v>18</v>
      </c>
      <c r="H8" t="s">
        <v>19</v>
      </c>
      <c r="I8" t="s">
        <v>19</v>
      </c>
      <c r="J8" t="s">
        <v>19</v>
      </c>
    </row>
    <row r="9" spans="1:10" x14ac:dyDescent="0.3">
      <c r="E9" s="4">
        <v>9</v>
      </c>
    </row>
    <row r="10" spans="1:10" x14ac:dyDescent="0.3">
      <c r="E10" s="4">
        <v>10</v>
      </c>
      <c r="H10" t="s">
        <v>20</v>
      </c>
      <c r="I10" t="s">
        <v>21</v>
      </c>
      <c r="J10" t="s">
        <v>22</v>
      </c>
    </row>
    <row r="11" spans="1:10" x14ac:dyDescent="0.3">
      <c r="H11">
        <v>1</v>
      </c>
      <c r="I11" t="s">
        <v>23</v>
      </c>
      <c r="J11" t="s">
        <v>26</v>
      </c>
    </row>
    <row r="12" spans="1:10" x14ac:dyDescent="0.3">
      <c r="H12">
        <v>2</v>
      </c>
      <c r="I12" t="s">
        <v>24</v>
      </c>
      <c r="J12" t="s">
        <v>27</v>
      </c>
    </row>
    <row r="13" spans="1:10" x14ac:dyDescent="0.3">
      <c r="H13">
        <v>3</v>
      </c>
      <c r="I13" t="s">
        <v>25</v>
      </c>
      <c r="J13" t="s">
        <v>28</v>
      </c>
    </row>
    <row r="20" spans="1:3" x14ac:dyDescent="0.3">
      <c r="A20" t="s">
        <v>13</v>
      </c>
      <c r="B20">
        <v>45</v>
      </c>
    </row>
    <row r="21" spans="1:3" x14ac:dyDescent="0.3">
      <c r="A21" t="s">
        <v>14</v>
      </c>
      <c r="B21">
        <v>12</v>
      </c>
    </row>
    <row r="22" spans="1:3" x14ac:dyDescent="0.3">
      <c r="A22" t="s">
        <v>15</v>
      </c>
      <c r="B22">
        <v>86</v>
      </c>
    </row>
    <row r="23" spans="1:3" x14ac:dyDescent="0.3">
      <c r="A23" t="s">
        <v>16</v>
      </c>
      <c r="B23">
        <v>1</v>
      </c>
      <c r="C23" t="s">
        <v>17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100"/>
  <sheetViews>
    <sheetView topLeftCell="C1" workbookViewId="0">
      <selection activeCell="Q20" sqref="Q20"/>
    </sheetView>
  </sheetViews>
  <sheetFormatPr defaultRowHeight="16.5" x14ac:dyDescent="0.3"/>
  <sheetData>
    <row r="1" spans="1:18" x14ac:dyDescent="0.3">
      <c r="A1">
        <v>1</v>
      </c>
      <c r="C1">
        <v>1</v>
      </c>
      <c r="E1">
        <v>1</v>
      </c>
      <c r="G1">
        <v>1</v>
      </c>
      <c r="H1" s="5" t="s">
        <v>43</v>
      </c>
      <c r="I1">
        <v>17</v>
      </c>
      <c r="K1">
        <v>1</v>
      </c>
      <c r="N1">
        <v>6</v>
      </c>
      <c r="O1">
        <v>1</v>
      </c>
      <c r="Q1">
        <v>2</v>
      </c>
      <c r="R1" t="s">
        <v>45</v>
      </c>
    </row>
    <row r="2" spans="1:18" x14ac:dyDescent="0.3">
      <c r="A2" s="2">
        <v>2</v>
      </c>
      <c r="B2" s="2" t="s">
        <v>29</v>
      </c>
      <c r="C2">
        <v>2</v>
      </c>
      <c r="G2">
        <v>2</v>
      </c>
      <c r="H2" s="5" t="s">
        <v>43</v>
      </c>
      <c r="K2" s="4">
        <v>2</v>
      </c>
      <c r="N2">
        <v>6</v>
      </c>
      <c r="O2">
        <v>2</v>
      </c>
      <c r="Q2">
        <v>3</v>
      </c>
      <c r="R2" t="s">
        <v>44</v>
      </c>
    </row>
    <row r="3" spans="1:18" x14ac:dyDescent="0.3">
      <c r="A3">
        <v>3</v>
      </c>
      <c r="C3">
        <v>3</v>
      </c>
      <c r="G3">
        <v>3</v>
      </c>
      <c r="H3" s="5" t="s">
        <v>43</v>
      </c>
      <c r="K3">
        <v>3</v>
      </c>
      <c r="N3">
        <v>3</v>
      </c>
      <c r="O3">
        <v>3</v>
      </c>
      <c r="Q3">
        <v>3</v>
      </c>
      <c r="R3" t="s">
        <v>44</v>
      </c>
    </row>
    <row r="4" spans="1:18" x14ac:dyDescent="0.3">
      <c r="A4" s="2">
        <v>4</v>
      </c>
      <c r="B4" s="2" t="s">
        <v>29</v>
      </c>
      <c r="C4">
        <v>4</v>
      </c>
      <c r="G4">
        <v>4</v>
      </c>
      <c r="H4" s="5" t="s">
        <v>43</v>
      </c>
      <c r="K4" s="4">
        <v>4</v>
      </c>
      <c r="N4">
        <v>4</v>
      </c>
      <c r="O4">
        <v>4</v>
      </c>
      <c r="Q4">
        <v>3</v>
      </c>
      <c r="R4" t="s">
        <v>44</v>
      </c>
    </row>
    <row r="5" spans="1:18" x14ac:dyDescent="0.3">
      <c r="A5">
        <v>5</v>
      </c>
      <c r="C5">
        <v>5</v>
      </c>
      <c r="H5" s="3" t="s">
        <v>18</v>
      </c>
      <c r="K5">
        <v>5</v>
      </c>
      <c r="N5">
        <v>8</v>
      </c>
      <c r="O5">
        <v>5</v>
      </c>
      <c r="Q5">
        <v>3</v>
      </c>
      <c r="R5" t="s">
        <v>44</v>
      </c>
    </row>
    <row r="6" spans="1:18" x14ac:dyDescent="0.3">
      <c r="A6" s="2">
        <v>6</v>
      </c>
      <c r="B6" s="2" t="s">
        <v>29</v>
      </c>
      <c r="C6">
        <v>6</v>
      </c>
      <c r="G6">
        <v>6</v>
      </c>
      <c r="H6" s="5" t="s">
        <v>43</v>
      </c>
      <c r="K6" s="4">
        <v>6</v>
      </c>
      <c r="O6">
        <v>6</v>
      </c>
      <c r="Q6">
        <v>1</v>
      </c>
      <c r="R6" t="s">
        <v>46</v>
      </c>
    </row>
    <row r="7" spans="1:18" x14ac:dyDescent="0.3">
      <c r="A7">
        <v>7</v>
      </c>
      <c r="C7">
        <v>7</v>
      </c>
      <c r="G7">
        <v>7</v>
      </c>
      <c r="H7" s="5" t="s">
        <v>43</v>
      </c>
      <c r="K7">
        <v>7</v>
      </c>
      <c r="O7">
        <v>7</v>
      </c>
      <c r="Q7">
        <v>2</v>
      </c>
      <c r="R7" t="s">
        <v>45</v>
      </c>
    </row>
    <row r="8" spans="1:18" x14ac:dyDescent="0.3">
      <c r="A8" s="2">
        <v>8</v>
      </c>
      <c r="B8" s="2" t="s">
        <v>29</v>
      </c>
      <c r="H8" s="3" t="s">
        <v>18</v>
      </c>
      <c r="K8" s="4">
        <v>8</v>
      </c>
      <c r="O8">
        <v>8</v>
      </c>
      <c r="Q8">
        <v>2</v>
      </c>
      <c r="R8" t="s">
        <v>45</v>
      </c>
    </row>
    <row r="9" spans="1:18" x14ac:dyDescent="0.3">
      <c r="A9">
        <v>9</v>
      </c>
      <c r="G9">
        <v>9</v>
      </c>
      <c r="H9" s="5" t="s">
        <v>43</v>
      </c>
      <c r="K9">
        <v>9</v>
      </c>
      <c r="O9">
        <v>9</v>
      </c>
      <c r="Q9">
        <v>1</v>
      </c>
      <c r="R9" t="s">
        <v>46</v>
      </c>
    </row>
    <row r="10" spans="1:18" x14ac:dyDescent="0.3">
      <c r="A10" s="2">
        <v>10</v>
      </c>
      <c r="B10" s="2" t="s">
        <v>29</v>
      </c>
      <c r="G10">
        <v>10</v>
      </c>
      <c r="H10" s="5" t="s">
        <v>43</v>
      </c>
      <c r="K10" s="4">
        <v>10</v>
      </c>
      <c r="L10">
        <v>10</v>
      </c>
      <c r="O10">
        <v>10</v>
      </c>
      <c r="Q10">
        <v>2</v>
      </c>
      <c r="R10" t="s">
        <v>45</v>
      </c>
    </row>
    <row r="11" spans="1:18" x14ac:dyDescent="0.3">
      <c r="G11">
        <v>11</v>
      </c>
      <c r="H11" s="5" t="s">
        <v>43</v>
      </c>
      <c r="K11">
        <v>11</v>
      </c>
    </row>
    <row r="12" spans="1:18" x14ac:dyDescent="0.3">
      <c r="G12">
        <v>12</v>
      </c>
      <c r="H12" s="5" t="s">
        <v>43</v>
      </c>
      <c r="K12" s="4">
        <v>12</v>
      </c>
      <c r="N12">
        <v>8</v>
      </c>
    </row>
    <row r="13" spans="1:18" x14ac:dyDescent="0.3">
      <c r="A13">
        <v>26</v>
      </c>
      <c r="G13">
        <v>13</v>
      </c>
      <c r="H13" s="5" t="s">
        <v>43</v>
      </c>
      <c r="K13">
        <v>13</v>
      </c>
    </row>
    <row r="14" spans="1:18" x14ac:dyDescent="0.3">
      <c r="A14">
        <v>10</v>
      </c>
      <c r="G14">
        <v>14</v>
      </c>
      <c r="H14" s="5" t="s">
        <v>43</v>
      </c>
      <c r="K14" s="4">
        <v>14</v>
      </c>
    </row>
    <row r="15" spans="1:18" x14ac:dyDescent="0.3">
      <c r="A15">
        <v>1</v>
      </c>
      <c r="G15">
        <v>15</v>
      </c>
      <c r="H15" s="5" t="s">
        <v>43</v>
      </c>
      <c r="K15">
        <v>15</v>
      </c>
    </row>
    <row r="16" spans="1:18" x14ac:dyDescent="0.3">
      <c r="H16" s="3" t="s">
        <v>18</v>
      </c>
      <c r="K16" s="4">
        <v>16</v>
      </c>
    </row>
    <row r="17" spans="1:19" x14ac:dyDescent="0.3">
      <c r="G17">
        <v>17</v>
      </c>
      <c r="H17" s="5" t="s">
        <v>43</v>
      </c>
      <c r="K17">
        <v>17</v>
      </c>
    </row>
    <row r="18" spans="1:19" x14ac:dyDescent="0.3">
      <c r="K18" s="4">
        <v>18</v>
      </c>
    </row>
    <row r="19" spans="1:19" x14ac:dyDescent="0.3">
      <c r="K19">
        <v>19</v>
      </c>
    </row>
    <row r="20" spans="1:19" x14ac:dyDescent="0.3">
      <c r="K20" s="4">
        <v>20</v>
      </c>
      <c r="L20">
        <v>20</v>
      </c>
      <c r="Q20">
        <v>51</v>
      </c>
      <c r="R20" t="s">
        <v>48</v>
      </c>
      <c r="S20" t="s">
        <v>48</v>
      </c>
    </row>
    <row r="21" spans="1:19" x14ac:dyDescent="0.3">
      <c r="K21">
        <v>21</v>
      </c>
      <c r="Q21">
        <v>89</v>
      </c>
      <c r="R21" t="s">
        <v>49</v>
      </c>
      <c r="S21" t="s">
        <v>49</v>
      </c>
    </row>
    <row r="22" spans="1:19" x14ac:dyDescent="0.3">
      <c r="K22" s="4">
        <v>22</v>
      </c>
      <c r="Q22">
        <v>37</v>
      </c>
      <c r="R22" t="s">
        <v>47</v>
      </c>
      <c r="S22" t="s">
        <v>47</v>
      </c>
    </row>
    <row r="23" spans="1:19" x14ac:dyDescent="0.3">
      <c r="K23">
        <v>23</v>
      </c>
      <c r="Q23">
        <v>26</v>
      </c>
      <c r="R23" t="s">
        <v>47</v>
      </c>
      <c r="S23" t="s">
        <v>47</v>
      </c>
    </row>
    <row r="24" spans="1:19" x14ac:dyDescent="0.3">
      <c r="A24" t="s">
        <v>30</v>
      </c>
      <c r="K24" s="4">
        <v>24</v>
      </c>
      <c r="Q24">
        <v>100</v>
      </c>
      <c r="R24" t="s">
        <v>49</v>
      </c>
      <c r="S24" t="s">
        <v>49</v>
      </c>
    </row>
    <row r="25" spans="1:19" x14ac:dyDescent="0.3">
      <c r="A25" t="s">
        <v>30</v>
      </c>
      <c r="K25">
        <v>25</v>
      </c>
      <c r="Q25">
        <v>22</v>
      </c>
      <c r="R25" t="s">
        <v>47</v>
      </c>
      <c r="S25" t="s">
        <v>47</v>
      </c>
    </row>
    <row r="26" spans="1:19" x14ac:dyDescent="0.3">
      <c r="A26">
        <v>31</v>
      </c>
      <c r="K26" s="4">
        <v>26</v>
      </c>
      <c r="Q26">
        <v>16</v>
      </c>
      <c r="R26" t="s">
        <v>50</v>
      </c>
      <c r="S26" t="s">
        <v>50</v>
      </c>
    </row>
    <row r="27" spans="1:19" x14ac:dyDescent="0.3">
      <c r="K27">
        <v>27</v>
      </c>
      <c r="L27">
        <v>40</v>
      </c>
      <c r="Q27">
        <v>74</v>
      </c>
      <c r="R27" t="s">
        <v>48</v>
      </c>
      <c r="S27" t="s">
        <v>48</v>
      </c>
    </row>
    <row r="28" spans="1:19" x14ac:dyDescent="0.3">
      <c r="K28" s="4">
        <v>28</v>
      </c>
      <c r="Q28">
        <v>26</v>
      </c>
      <c r="R28" t="s">
        <v>47</v>
      </c>
      <c r="S28" t="s">
        <v>47</v>
      </c>
    </row>
    <row r="29" spans="1:19" x14ac:dyDescent="0.3">
      <c r="K29">
        <v>29</v>
      </c>
      <c r="Q29">
        <v>60</v>
      </c>
      <c r="R29" t="s">
        <v>48</v>
      </c>
      <c r="S29" t="s">
        <v>48</v>
      </c>
    </row>
    <row r="30" spans="1:19" x14ac:dyDescent="0.3">
      <c r="A30" t="s">
        <v>31</v>
      </c>
      <c r="K30" s="4">
        <v>30</v>
      </c>
      <c r="L30">
        <v>30</v>
      </c>
      <c r="Q30">
        <v>83</v>
      </c>
      <c r="R30" t="s">
        <v>49</v>
      </c>
      <c r="S30" t="s">
        <v>49</v>
      </c>
    </row>
    <row r="31" spans="1:19" x14ac:dyDescent="0.3">
      <c r="A31" t="s">
        <v>32</v>
      </c>
      <c r="K31">
        <v>31</v>
      </c>
    </row>
    <row r="32" spans="1:19" x14ac:dyDescent="0.3">
      <c r="A32" t="s">
        <v>33</v>
      </c>
      <c r="K32" s="4">
        <v>32</v>
      </c>
      <c r="L32">
        <v>40</v>
      </c>
    </row>
    <row r="33" spans="1:12" x14ac:dyDescent="0.3">
      <c r="K33">
        <v>33</v>
      </c>
    </row>
    <row r="34" spans="1:12" x14ac:dyDescent="0.3">
      <c r="A34" t="s">
        <v>34</v>
      </c>
      <c r="K34" s="4">
        <v>34</v>
      </c>
    </row>
    <row r="35" spans="1:12" x14ac:dyDescent="0.3">
      <c r="A35" t="s">
        <v>35</v>
      </c>
      <c r="K35">
        <v>35</v>
      </c>
      <c r="L35">
        <v>40</v>
      </c>
    </row>
    <row r="36" spans="1:12" x14ac:dyDescent="0.3">
      <c r="A36" t="s">
        <v>36</v>
      </c>
      <c r="K36" s="4">
        <v>36</v>
      </c>
    </row>
    <row r="37" spans="1:12" x14ac:dyDescent="0.3">
      <c r="K37">
        <v>37</v>
      </c>
      <c r="L37">
        <v>50</v>
      </c>
    </row>
    <row r="38" spans="1:12" x14ac:dyDescent="0.3">
      <c r="A38" t="s">
        <v>37</v>
      </c>
      <c r="K38" s="4">
        <v>38</v>
      </c>
    </row>
    <row r="39" spans="1:12" x14ac:dyDescent="0.3">
      <c r="A39" t="s">
        <v>38</v>
      </c>
      <c r="K39">
        <v>39</v>
      </c>
    </row>
    <row r="40" spans="1:12" x14ac:dyDescent="0.3">
      <c r="A40" t="s">
        <v>39</v>
      </c>
      <c r="K40" s="4">
        <v>40</v>
      </c>
      <c r="L40">
        <v>40</v>
      </c>
    </row>
    <row r="41" spans="1:12" x14ac:dyDescent="0.3">
      <c r="K41">
        <v>41</v>
      </c>
    </row>
    <row r="42" spans="1:12" x14ac:dyDescent="0.3">
      <c r="A42" t="s">
        <v>40</v>
      </c>
      <c r="K42" s="4">
        <v>42</v>
      </c>
      <c r="L42">
        <v>50</v>
      </c>
    </row>
    <row r="43" spans="1:12" x14ac:dyDescent="0.3">
      <c r="A43" t="s">
        <v>41</v>
      </c>
      <c r="K43">
        <v>43</v>
      </c>
    </row>
    <row r="44" spans="1:12" x14ac:dyDescent="0.3">
      <c r="A44" t="s">
        <v>42</v>
      </c>
      <c r="K44" s="4">
        <v>44</v>
      </c>
    </row>
    <row r="45" spans="1:12" x14ac:dyDescent="0.3">
      <c r="K45">
        <v>45</v>
      </c>
      <c r="L45">
        <v>50</v>
      </c>
    </row>
    <row r="46" spans="1:12" x14ac:dyDescent="0.3">
      <c r="K46" s="4">
        <v>46</v>
      </c>
    </row>
    <row r="47" spans="1:12" x14ac:dyDescent="0.3">
      <c r="K47">
        <v>47</v>
      </c>
      <c r="L47">
        <v>60</v>
      </c>
    </row>
    <row r="48" spans="1:12" x14ac:dyDescent="0.3">
      <c r="K48" s="4">
        <v>48</v>
      </c>
    </row>
    <row r="49" spans="1:12" x14ac:dyDescent="0.3">
      <c r="K49">
        <v>49</v>
      </c>
    </row>
    <row r="50" spans="1:12" x14ac:dyDescent="0.3">
      <c r="A50" t="s">
        <v>31</v>
      </c>
      <c r="K50" s="4">
        <v>50</v>
      </c>
      <c r="L50">
        <v>50</v>
      </c>
    </row>
    <row r="51" spans="1:12" x14ac:dyDescent="0.3">
      <c r="A51" t="s">
        <v>32</v>
      </c>
      <c r="K51">
        <v>51</v>
      </c>
    </row>
    <row r="52" spans="1:12" x14ac:dyDescent="0.3">
      <c r="A52" t="s">
        <v>33</v>
      </c>
      <c r="K52" s="4">
        <v>52</v>
      </c>
      <c r="L52">
        <v>60</v>
      </c>
    </row>
    <row r="53" spans="1:12" x14ac:dyDescent="0.3">
      <c r="K53">
        <v>53</v>
      </c>
    </row>
    <row r="54" spans="1:12" x14ac:dyDescent="0.3">
      <c r="A54" t="s">
        <v>34</v>
      </c>
      <c r="K54" s="4">
        <v>54</v>
      </c>
    </row>
    <row r="55" spans="1:12" x14ac:dyDescent="0.3">
      <c r="A55" t="s">
        <v>35</v>
      </c>
      <c r="K55">
        <v>55</v>
      </c>
      <c r="L55">
        <v>60</v>
      </c>
    </row>
    <row r="56" spans="1:12" x14ac:dyDescent="0.3">
      <c r="A56" t="s">
        <v>36</v>
      </c>
      <c r="K56" s="4">
        <v>56</v>
      </c>
    </row>
    <row r="57" spans="1:12" x14ac:dyDescent="0.3">
      <c r="K57">
        <v>57</v>
      </c>
      <c r="L57">
        <v>70</v>
      </c>
    </row>
    <row r="58" spans="1:12" x14ac:dyDescent="0.3">
      <c r="A58" t="s">
        <v>37</v>
      </c>
      <c r="K58" s="4">
        <v>58</v>
      </c>
    </row>
    <row r="59" spans="1:12" x14ac:dyDescent="0.3">
      <c r="A59" t="s">
        <v>38</v>
      </c>
      <c r="K59">
        <v>59</v>
      </c>
    </row>
    <row r="60" spans="1:12" x14ac:dyDescent="0.3">
      <c r="A60" t="s">
        <v>39</v>
      </c>
      <c r="K60" s="4">
        <v>60</v>
      </c>
      <c r="L60">
        <v>60</v>
      </c>
    </row>
    <row r="61" spans="1:12" x14ac:dyDescent="0.3">
      <c r="K61">
        <v>61</v>
      </c>
    </row>
    <row r="62" spans="1:12" x14ac:dyDescent="0.3">
      <c r="A62" t="s">
        <v>40</v>
      </c>
      <c r="K62" s="4">
        <v>62</v>
      </c>
      <c r="L62">
        <v>70</v>
      </c>
    </row>
    <row r="63" spans="1:12" x14ac:dyDescent="0.3">
      <c r="A63" t="s">
        <v>41</v>
      </c>
      <c r="K63">
        <v>63</v>
      </c>
    </row>
    <row r="64" spans="1:12" x14ac:dyDescent="0.3">
      <c r="A64" t="s">
        <v>42</v>
      </c>
      <c r="K64" s="4">
        <v>64</v>
      </c>
    </row>
    <row r="65" spans="11:12" x14ac:dyDescent="0.3">
      <c r="K65">
        <v>65</v>
      </c>
      <c r="L65">
        <v>70</v>
      </c>
    </row>
    <row r="66" spans="11:12" x14ac:dyDescent="0.3">
      <c r="K66" s="4">
        <v>66</v>
      </c>
    </row>
    <row r="67" spans="11:12" x14ac:dyDescent="0.3">
      <c r="K67">
        <v>67</v>
      </c>
      <c r="L67">
        <v>80</v>
      </c>
    </row>
    <row r="68" spans="11:12" x14ac:dyDescent="0.3">
      <c r="K68" s="4">
        <v>68</v>
      </c>
    </row>
    <row r="69" spans="11:12" x14ac:dyDescent="0.3">
      <c r="K69">
        <v>69</v>
      </c>
    </row>
    <row r="70" spans="11:12" x14ac:dyDescent="0.3">
      <c r="K70" s="4">
        <v>70</v>
      </c>
      <c r="L70">
        <v>70</v>
      </c>
    </row>
    <row r="71" spans="11:12" x14ac:dyDescent="0.3">
      <c r="K71">
        <v>71</v>
      </c>
    </row>
    <row r="72" spans="11:12" x14ac:dyDescent="0.3">
      <c r="K72" s="4">
        <v>72</v>
      </c>
      <c r="L72">
        <v>80</v>
      </c>
    </row>
    <row r="73" spans="11:12" x14ac:dyDescent="0.3">
      <c r="K73">
        <v>73</v>
      </c>
    </row>
    <row r="74" spans="11:12" x14ac:dyDescent="0.3">
      <c r="K74" s="4">
        <v>74</v>
      </c>
    </row>
    <row r="75" spans="11:12" x14ac:dyDescent="0.3">
      <c r="K75">
        <v>75</v>
      </c>
      <c r="L75">
        <v>80</v>
      </c>
    </row>
    <row r="76" spans="11:12" x14ac:dyDescent="0.3">
      <c r="K76" s="4">
        <v>76</v>
      </c>
    </row>
    <row r="77" spans="11:12" x14ac:dyDescent="0.3">
      <c r="K77">
        <v>77</v>
      </c>
      <c r="L77">
        <v>90</v>
      </c>
    </row>
    <row r="78" spans="11:12" x14ac:dyDescent="0.3">
      <c r="K78" s="4">
        <v>78</v>
      </c>
    </row>
    <row r="79" spans="11:12" x14ac:dyDescent="0.3">
      <c r="K79">
        <v>79</v>
      </c>
    </row>
    <row r="80" spans="11:12" x14ac:dyDescent="0.3">
      <c r="K80" s="4">
        <v>80</v>
      </c>
      <c r="L80">
        <v>80</v>
      </c>
    </row>
    <row r="81" spans="11:12" x14ac:dyDescent="0.3">
      <c r="K81">
        <v>81</v>
      </c>
    </row>
    <row r="82" spans="11:12" x14ac:dyDescent="0.3">
      <c r="K82" s="4">
        <v>82</v>
      </c>
      <c r="L82">
        <v>90</v>
      </c>
    </row>
    <row r="83" spans="11:12" x14ac:dyDescent="0.3">
      <c r="K83">
        <v>83</v>
      </c>
    </row>
    <row r="84" spans="11:12" x14ac:dyDescent="0.3">
      <c r="K84" s="4">
        <v>84</v>
      </c>
    </row>
    <row r="85" spans="11:12" x14ac:dyDescent="0.3">
      <c r="K85">
        <v>85</v>
      </c>
      <c r="L85">
        <v>90</v>
      </c>
    </row>
    <row r="86" spans="11:12" x14ac:dyDescent="0.3">
      <c r="K86" s="4">
        <v>86</v>
      </c>
    </row>
    <row r="87" spans="11:12" x14ac:dyDescent="0.3">
      <c r="K87">
        <v>87</v>
      </c>
      <c r="L87">
        <v>100</v>
      </c>
    </row>
    <row r="88" spans="11:12" x14ac:dyDescent="0.3">
      <c r="K88" s="4">
        <v>88</v>
      </c>
    </row>
    <row r="89" spans="11:12" x14ac:dyDescent="0.3">
      <c r="K89">
        <v>89</v>
      </c>
    </row>
    <row r="90" spans="11:12" x14ac:dyDescent="0.3">
      <c r="K90" s="4">
        <v>90</v>
      </c>
      <c r="L90">
        <v>90</v>
      </c>
    </row>
    <row r="91" spans="11:12" x14ac:dyDescent="0.3">
      <c r="K91">
        <v>91</v>
      </c>
    </row>
    <row r="92" spans="11:12" x14ac:dyDescent="0.3">
      <c r="K92" s="4">
        <v>92</v>
      </c>
      <c r="L92">
        <v>100</v>
      </c>
    </row>
    <row r="93" spans="11:12" x14ac:dyDescent="0.3">
      <c r="K93">
        <v>93</v>
      </c>
    </row>
    <row r="94" spans="11:12" x14ac:dyDescent="0.3">
      <c r="K94" s="4">
        <v>94</v>
      </c>
    </row>
    <row r="95" spans="11:12" x14ac:dyDescent="0.3">
      <c r="K95">
        <v>95</v>
      </c>
      <c r="L95">
        <v>100</v>
      </c>
    </row>
    <row r="96" spans="11:12" x14ac:dyDescent="0.3">
      <c r="K96" s="4">
        <v>96</v>
      </c>
    </row>
    <row r="97" spans="11:12" x14ac:dyDescent="0.3">
      <c r="K97">
        <v>97</v>
      </c>
    </row>
    <row r="98" spans="11:12" x14ac:dyDescent="0.3">
      <c r="K98" s="4">
        <v>98</v>
      </c>
    </row>
    <row r="99" spans="11:12" x14ac:dyDescent="0.3">
      <c r="K99">
        <v>99</v>
      </c>
    </row>
    <row r="100" spans="11:12" x14ac:dyDescent="0.3">
      <c r="K100" s="4">
        <v>100</v>
      </c>
      <c r="L100">
        <v>100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D24" sqref="D24"/>
    </sheetView>
  </sheetViews>
  <sheetFormatPr defaultRowHeight="16.5" x14ac:dyDescent="0.3"/>
  <sheetData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"/>
  <sheetViews>
    <sheetView workbookViewId="0">
      <selection activeCell="C15" sqref="C15"/>
    </sheetView>
  </sheetViews>
  <sheetFormatPr defaultRowHeight="16.5" x14ac:dyDescent="0.3"/>
  <sheetData>
    <row r="1" spans="1:6" x14ac:dyDescent="0.3">
      <c r="A1">
        <v>5</v>
      </c>
      <c r="B1">
        <v>5</v>
      </c>
      <c r="C1">
        <v>5</v>
      </c>
      <c r="D1">
        <v>5</v>
      </c>
      <c r="E1">
        <v>5</v>
      </c>
      <c r="F1">
        <v>5</v>
      </c>
    </row>
    <row r="2" spans="1:6" x14ac:dyDescent="0.3">
      <c r="A2">
        <v>5</v>
      </c>
      <c r="B2">
        <v>5</v>
      </c>
      <c r="C2">
        <v>5</v>
      </c>
      <c r="D2">
        <v>5</v>
      </c>
      <c r="E2">
        <v>5</v>
      </c>
      <c r="F2">
        <v>5</v>
      </c>
    </row>
    <row r="3" spans="1:6" x14ac:dyDescent="0.3">
      <c r="A3">
        <v>5</v>
      </c>
      <c r="B3">
        <v>5</v>
      </c>
      <c r="C3">
        <v>5</v>
      </c>
      <c r="D3">
        <v>5</v>
      </c>
      <c r="E3">
        <v>5</v>
      </c>
      <c r="F3">
        <v>5</v>
      </c>
    </row>
    <row r="4" spans="1:6" x14ac:dyDescent="0.3">
      <c r="A4">
        <v>5</v>
      </c>
      <c r="B4">
        <v>5</v>
      </c>
      <c r="C4">
        <v>5</v>
      </c>
      <c r="D4">
        <v>5</v>
      </c>
      <c r="E4">
        <v>5</v>
      </c>
      <c r="F4">
        <v>5</v>
      </c>
    </row>
    <row r="5" spans="1:6" x14ac:dyDescent="0.3">
      <c r="A5">
        <v>5</v>
      </c>
      <c r="B5">
        <v>5</v>
      </c>
      <c r="C5">
        <v>5</v>
      </c>
      <c r="D5">
        <v>5</v>
      </c>
      <c r="E5">
        <v>5</v>
      </c>
      <c r="F5">
        <v>5</v>
      </c>
    </row>
    <row r="6" spans="1:6" x14ac:dyDescent="0.3">
      <c r="A6">
        <v>5</v>
      </c>
      <c r="B6">
        <v>5</v>
      </c>
      <c r="C6">
        <v>5</v>
      </c>
      <c r="D6">
        <v>5</v>
      </c>
      <c r="E6">
        <v>5</v>
      </c>
      <c r="F6">
        <v>5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4"/>
  <sheetViews>
    <sheetView workbookViewId="0"/>
  </sheetViews>
  <sheetFormatPr defaultRowHeight="16.5" x14ac:dyDescent="0.3"/>
  <sheetData>
    <row r="1" spans="1:1" x14ac:dyDescent="0.3">
      <c r="A1" t="s">
        <v>53</v>
      </c>
    </row>
    <row r="2" spans="1:1" x14ac:dyDescent="0.3">
      <c r="A2" t="s">
        <v>51</v>
      </c>
    </row>
    <row r="3" spans="1:1" x14ac:dyDescent="0.3">
      <c r="A3" t="s">
        <v>52</v>
      </c>
    </row>
    <row r="4" spans="1:1" x14ac:dyDescent="0.3">
      <c r="A4" t="s">
        <v>54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>
      <selection activeCell="E17" sqref="E17"/>
    </sheetView>
  </sheetViews>
  <sheetFormatPr defaultRowHeight="16.5" x14ac:dyDescent="0.3"/>
  <sheetData>
    <row r="1" spans="1:1" x14ac:dyDescent="0.3">
      <c r="A1" t="s">
        <v>70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6.5" x14ac:dyDescent="0.3"/>
  <sheetData>
    <row r="1" spans="1:1" x14ac:dyDescent="0.3">
      <c r="A1" t="s">
        <v>55</v>
      </c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2"/>
  <sheetViews>
    <sheetView workbookViewId="0"/>
  </sheetViews>
  <sheetFormatPr defaultRowHeight="16.5" x14ac:dyDescent="0.3"/>
  <sheetData>
    <row r="1" spans="1:1" x14ac:dyDescent="0.3">
      <c r="A1" t="s">
        <v>56</v>
      </c>
    </row>
    <row r="2" spans="1:1" x14ac:dyDescent="0.3">
      <c r="A2" t="s">
        <v>57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502"/>
  <sheetViews>
    <sheetView workbookViewId="0">
      <selection sqref="A1:H502"/>
    </sheetView>
  </sheetViews>
  <sheetFormatPr defaultRowHeight="16.5" x14ac:dyDescent="0.3"/>
  <cols>
    <col min="4" max="4" width="10.75" bestFit="1" customWidth="1"/>
  </cols>
  <sheetData>
    <row r="1" spans="1:8" x14ac:dyDescent="0.3">
      <c r="A1" t="s">
        <v>60</v>
      </c>
      <c r="B1" t="s">
        <v>61</v>
      </c>
      <c r="C1" t="s">
        <v>58</v>
      </c>
      <c r="D1" t="s">
        <v>62</v>
      </c>
      <c r="E1" t="s">
        <v>63</v>
      </c>
      <c r="F1" t="s">
        <v>64</v>
      </c>
      <c r="G1" t="s">
        <v>59</v>
      </c>
      <c r="H1" t="s">
        <v>65</v>
      </c>
    </row>
    <row r="2" spans="1:8" x14ac:dyDescent="0.3">
      <c r="A2">
        <v>1</v>
      </c>
      <c r="B2">
        <v>5</v>
      </c>
      <c r="C2">
        <v>113</v>
      </c>
      <c r="D2" s="6">
        <v>42507</v>
      </c>
      <c r="E2" t="str">
        <f>VLOOKUP(B2,[1]pivottables!$F$2:$G$52,2,0)</f>
        <v>USA</v>
      </c>
      <c r="F2">
        <v>4</v>
      </c>
      <c r="G2">
        <f>VLOOKUP(C2,[1]products!$B$2:$E$27,4,0)</f>
        <v>9.89</v>
      </c>
      <c r="H2">
        <f>G2*F2</f>
        <v>39.56</v>
      </c>
    </row>
    <row r="3" spans="1:8" x14ac:dyDescent="0.3">
      <c r="A3">
        <v>2</v>
      </c>
      <c r="B3">
        <v>37</v>
      </c>
      <c r="C3">
        <v>101</v>
      </c>
      <c r="D3" s="6">
        <v>42790</v>
      </c>
      <c r="E3" t="str">
        <f>VLOOKUP(B3,[1]pivottables!$F$2:$G$52,2,0)</f>
        <v>GBR</v>
      </c>
      <c r="F3">
        <v>2</v>
      </c>
      <c r="G3">
        <f>VLOOKUP(C3,[1]products!$B$2:$E$27,4,0)</f>
        <v>108.61</v>
      </c>
      <c r="H3">
        <f t="shared" ref="H3:H66" si="0">G3*F3</f>
        <v>217.22</v>
      </c>
    </row>
    <row r="4" spans="1:8" x14ac:dyDescent="0.3">
      <c r="A4">
        <v>3</v>
      </c>
      <c r="B4">
        <v>33</v>
      </c>
      <c r="C4">
        <v>101</v>
      </c>
      <c r="D4" s="6">
        <v>42121</v>
      </c>
      <c r="E4" t="str">
        <f>VLOOKUP(B4,[1]pivottables!$F$2:$G$52,2,0)</f>
        <v>NLD</v>
      </c>
      <c r="F4">
        <v>1</v>
      </c>
      <c r="G4">
        <f>VLOOKUP(C4,[1]products!$B$2:$E$27,4,0)</f>
        <v>108.61</v>
      </c>
      <c r="H4">
        <f t="shared" si="0"/>
        <v>108.61</v>
      </c>
    </row>
    <row r="5" spans="1:8" x14ac:dyDescent="0.3">
      <c r="A5">
        <v>4</v>
      </c>
      <c r="B5">
        <v>26</v>
      </c>
      <c r="C5">
        <v>117</v>
      </c>
      <c r="D5" s="6">
        <v>42811</v>
      </c>
      <c r="E5" t="str">
        <f>VLOOKUP(B5,[1]pivottables!$F$2:$G$52,2,0)</f>
        <v>NLD</v>
      </c>
      <c r="F5">
        <v>2</v>
      </c>
      <c r="G5">
        <f>VLOOKUP(C5,[1]products!$B$2:$E$27,4,0)</f>
        <v>47.38</v>
      </c>
      <c r="H5">
        <f t="shared" si="0"/>
        <v>94.76</v>
      </c>
    </row>
    <row r="6" spans="1:8" x14ac:dyDescent="0.3">
      <c r="A6">
        <v>5</v>
      </c>
      <c r="B6">
        <v>45</v>
      </c>
      <c r="C6">
        <v>115</v>
      </c>
      <c r="D6" s="6">
        <v>43024</v>
      </c>
      <c r="E6" t="str">
        <f>VLOOKUP(B6,[1]pivottables!$F$2:$G$52,2,0)</f>
        <v>NLD</v>
      </c>
      <c r="F6">
        <v>2</v>
      </c>
      <c r="G6">
        <f>VLOOKUP(C6,[1]products!$B$2:$E$27,4,0)</f>
        <v>22.55</v>
      </c>
      <c r="H6">
        <f t="shared" si="0"/>
        <v>45.1</v>
      </c>
    </row>
    <row r="7" spans="1:8" x14ac:dyDescent="0.3">
      <c r="A7">
        <v>6</v>
      </c>
      <c r="B7">
        <v>27</v>
      </c>
      <c r="C7">
        <v>107</v>
      </c>
      <c r="D7" s="6">
        <v>42819</v>
      </c>
      <c r="E7" t="str">
        <f>VLOOKUP(B7,[1]pivottables!$F$2:$G$52,2,0)</f>
        <v>ITA</v>
      </c>
      <c r="F7">
        <v>3</v>
      </c>
      <c r="G7">
        <f>VLOOKUP(C7,[1]products!$B$2:$E$27,4,0)</f>
        <v>43.1</v>
      </c>
      <c r="H7">
        <f t="shared" si="0"/>
        <v>129.30000000000001</v>
      </c>
    </row>
    <row r="8" spans="1:8" x14ac:dyDescent="0.3">
      <c r="A8">
        <v>7</v>
      </c>
      <c r="B8">
        <v>24</v>
      </c>
      <c r="C8">
        <v>107</v>
      </c>
      <c r="D8" s="6">
        <v>42500</v>
      </c>
      <c r="E8" t="str">
        <f>VLOOKUP(B8,[1]pivottables!$F$2:$G$52,2,0)</f>
        <v>NLD</v>
      </c>
      <c r="F8">
        <v>5</v>
      </c>
      <c r="G8">
        <f>VLOOKUP(C8,[1]products!$B$2:$E$27,4,0)</f>
        <v>43.1</v>
      </c>
      <c r="H8">
        <f t="shared" si="0"/>
        <v>215.5</v>
      </c>
    </row>
    <row r="9" spans="1:8" x14ac:dyDescent="0.3">
      <c r="A9">
        <v>8</v>
      </c>
      <c r="B9">
        <v>32</v>
      </c>
      <c r="C9">
        <v>116</v>
      </c>
      <c r="D9" s="6">
        <v>42069</v>
      </c>
      <c r="E9" t="str">
        <f>VLOOKUP(B9,[1]pivottables!$F$2:$G$52,2,0)</f>
        <v>NLD</v>
      </c>
      <c r="F9">
        <v>3</v>
      </c>
      <c r="G9">
        <f>VLOOKUP(C9,[1]products!$B$2:$E$27,4,0)</f>
        <v>137.19999999999999</v>
      </c>
      <c r="H9">
        <f t="shared" si="0"/>
        <v>411.59999999999997</v>
      </c>
    </row>
    <row r="10" spans="1:8" x14ac:dyDescent="0.3">
      <c r="A10">
        <v>9</v>
      </c>
      <c r="B10">
        <v>38</v>
      </c>
      <c r="C10">
        <v>105</v>
      </c>
      <c r="D10" s="6">
        <v>42920</v>
      </c>
      <c r="E10" t="str">
        <f>VLOOKUP(B10,[1]pivottables!$F$2:$G$52,2,0)</f>
        <v>USA</v>
      </c>
      <c r="F10">
        <v>3</v>
      </c>
      <c r="G10">
        <f>VLOOKUP(C10,[1]products!$B$2:$E$27,4,0)</f>
        <v>149.93</v>
      </c>
      <c r="H10">
        <f t="shared" si="0"/>
        <v>449.79</v>
      </c>
    </row>
    <row r="11" spans="1:8" x14ac:dyDescent="0.3">
      <c r="A11">
        <v>10</v>
      </c>
      <c r="B11">
        <v>17</v>
      </c>
      <c r="C11">
        <v>114</v>
      </c>
      <c r="D11" s="6">
        <v>42873</v>
      </c>
      <c r="E11" t="str">
        <f>VLOOKUP(B11,[1]pivottables!$F$2:$G$52,2,0)</f>
        <v>CAN</v>
      </c>
      <c r="F11">
        <v>5</v>
      </c>
      <c r="G11">
        <f>VLOOKUP(C11,[1]products!$B$2:$E$27,4,0)</f>
        <v>74.38</v>
      </c>
      <c r="H11">
        <f t="shared" si="0"/>
        <v>371.9</v>
      </c>
    </row>
    <row r="12" spans="1:8" x14ac:dyDescent="0.3">
      <c r="A12">
        <v>11</v>
      </c>
      <c r="B12">
        <v>37</v>
      </c>
      <c r="C12">
        <v>110</v>
      </c>
      <c r="D12" s="6">
        <v>42206</v>
      </c>
      <c r="E12" t="str">
        <f>VLOOKUP(B12,[1]pivottables!$F$2:$G$52,2,0)</f>
        <v>GBR</v>
      </c>
      <c r="F12">
        <v>2</v>
      </c>
      <c r="G12">
        <f>VLOOKUP(C12,[1]products!$B$2:$E$27,4,0)</f>
        <v>10.76</v>
      </c>
      <c r="H12">
        <f t="shared" si="0"/>
        <v>21.52</v>
      </c>
    </row>
    <row r="13" spans="1:8" x14ac:dyDescent="0.3">
      <c r="A13">
        <v>12</v>
      </c>
      <c r="B13">
        <v>32</v>
      </c>
      <c r="C13">
        <v>104</v>
      </c>
      <c r="D13" s="6">
        <v>42330</v>
      </c>
      <c r="E13" t="str">
        <f>VLOOKUP(B13,[1]pivottables!$F$2:$G$52,2,0)</f>
        <v>NLD</v>
      </c>
      <c r="F13">
        <v>5</v>
      </c>
      <c r="G13">
        <f>VLOOKUP(C13,[1]products!$B$2:$E$27,4,0)</f>
        <v>122.18</v>
      </c>
      <c r="H13">
        <f t="shared" si="0"/>
        <v>610.90000000000009</v>
      </c>
    </row>
    <row r="14" spans="1:8" x14ac:dyDescent="0.3">
      <c r="A14">
        <v>13</v>
      </c>
      <c r="B14">
        <v>41</v>
      </c>
      <c r="C14">
        <v>123</v>
      </c>
      <c r="D14" s="6">
        <v>42992</v>
      </c>
      <c r="E14" t="str">
        <f>VLOOKUP(B14,[1]pivottables!$F$2:$G$52,2,0)</f>
        <v>FRA</v>
      </c>
      <c r="F14">
        <v>5</v>
      </c>
      <c r="G14">
        <f>VLOOKUP(C14,[1]products!$B$2:$E$27,4,0)</f>
        <v>39.67</v>
      </c>
      <c r="H14">
        <f t="shared" si="0"/>
        <v>198.35000000000002</v>
      </c>
    </row>
    <row r="15" spans="1:8" x14ac:dyDescent="0.3">
      <c r="A15">
        <v>14</v>
      </c>
      <c r="B15">
        <v>46</v>
      </c>
      <c r="C15">
        <v>109</v>
      </c>
      <c r="D15" s="6">
        <v>43003</v>
      </c>
      <c r="E15" t="str">
        <f>VLOOKUP(B15,[1]pivottables!$F$2:$G$52,2,0)</f>
        <v>JPN</v>
      </c>
      <c r="F15">
        <v>2</v>
      </c>
      <c r="G15">
        <f>VLOOKUP(C15,[1]products!$B$2:$E$27,4,0)</f>
        <v>143.97999999999999</v>
      </c>
      <c r="H15">
        <f t="shared" si="0"/>
        <v>287.95999999999998</v>
      </c>
    </row>
    <row r="16" spans="1:8" x14ac:dyDescent="0.3">
      <c r="A16">
        <v>15</v>
      </c>
      <c r="B16">
        <v>6</v>
      </c>
      <c r="C16">
        <v>100</v>
      </c>
      <c r="D16" s="6">
        <v>42878</v>
      </c>
      <c r="E16" t="str">
        <f>VLOOKUP(B16,[1]pivottables!$F$2:$G$52,2,0)</f>
        <v>CAN</v>
      </c>
      <c r="F16">
        <v>2</v>
      </c>
      <c r="G16">
        <f>VLOOKUP(C16,[1]products!$B$2:$E$27,4,0)</f>
        <v>30.29</v>
      </c>
      <c r="H16">
        <f t="shared" si="0"/>
        <v>60.58</v>
      </c>
    </row>
    <row r="17" spans="1:8" x14ac:dyDescent="0.3">
      <c r="A17">
        <v>16</v>
      </c>
      <c r="B17">
        <v>18</v>
      </c>
      <c r="C17">
        <v>101</v>
      </c>
      <c r="D17" s="6">
        <v>42512</v>
      </c>
      <c r="E17" t="str">
        <f>VLOOKUP(B17,[1]pivottables!$F$2:$G$52,2,0)</f>
        <v>JPN</v>
      </c>
      <c r="F17">
        <v>4</v>
      </c>
      <c r="G17">
        <f>VLOOKUP(C17,[1]products!$B$2:$E$27,4,0)</f>
        <v>108.61</v>
      </c>
      <c r="H17">
        <f t="shared" si="0"/>
        <v>434.44</v>
      </c>
    </row>
    <row r="18" spans="1:8" x14ac:dyDescent="0.3">
      <c r="A18">
        <v>17</v>
      </c>
      <c r="B18">
        <v>47</v>
      </c>
      <c r="C18">
        <v>112</v>
      </c>
      <c r="D18" s="6">
        <v>42560</v>
      </c>
      <c r="E18" t="str">
        <f>VLOOKUP(B18,[1]pivottables!$F$2:$G$52,2,0)</f>
        <v>CHN</v>
      </c>
      <c r="F18">
        <v>2</v>
      </c>
      <c r="G18">
        <f>VLOOKUP(C18,[1]products!$B$2:$E$27,4,0)</f>
        <v>106.3</v>
      </c>
      <c r="H18">
        <f t="shared" si="0"/>
        <v>212.6</v>
      </c>
    </row>
    <row r="19" spans="1:8" x14ac:dyDescent="0.3">
      <c r="A19">
        <v>18</v>
      </c>
      <c r="B19">
        <v>19</v>
      </c>
      <c r="C19">
        <v>100</v>
      </c>
      <c r="D19" s="6">
        <v>42804</v>
      </c>
      <c r="E19" t="str">
        <f>VLOOKUP(B19,[1]pivottables!$F$2:$G$52,2,0)</f>
        <v>NLD</v>
      </c>
      <c r="F19">
        <v>5</v>
      </c>
      <c r="G19">
        <f>VLOOKUP(C19,[1]products!$B$2:$E$27,4,0)</f>
        <v>30.29</v>
      </c>
      <c r="H19">
        <f t="shared" si="0"/>
        <v>151.44999999999999</v>
      </c>
    </row>
    <row r="20" spans="1:8" x14ac:dyDescent="0.3">
      <c r="A20">
        <v>19</v>
      </c>
      <c r="B20">
        <v>9</v>
      </c>
      <c r="C20">
        <v>122</v>
      </c>
      <c r="D20" s="6">
        <v>42201</v>
      </c>
      <c r="E20" t="str">
        <f>VLOOKUP(B20,[1]pivottables!$F$2:$G$52,2,0)</f>
        <v>HUN</v>
      </c>
      <c r="F20">
        <v>4</v>
      </c>
      <c r="G20">
        <f>VLOOKUP(C20,[1]products!$B$2:$E$27,4,0)</f>
        <v>32.64</v>
      </c>
      <c r="H20">
        <f t="shared" si="0"/>
        <v>130.56</v>
      </c>
    </row>
    <row r="21" spans="1:8" x14ac:dyDescent="0.3">
      <c r="A21">
        <v>20</v>
      </c>
      <c r="B21">
        <v>36</v>
      </c>
      <c r="C21">
        <v>122</v>
      </c>
      <c r="D21" s="6">
        <v>42998</v>
      </c>
      <c r="E21" t="str">
        <f>VLOOKUP(B21,[1]pivottables!$F$2:$G$52,2,0)</f>
        <v>FRA</v>
      </c>
      <c r="F21">
        <v>2</v>
      </c>
      <c r="G21">
        <f>VLOOKUP(C21,[1]products!$B$2:$E$27,4,0)</f>
        <v>32.64</v>
      </c>
      <c r="H21">
        <f t="shared" si="0"/>
        <v>65.28</v>
      </c>
    </row>
    <row r="22" spans="1:8" x14ac:dyDescent="0.3">
      <c r="A22">
        <v>21</v>
      </c>
      <c r="B22">
        <v>21</v>
      </c>
      <c r="C22">
        <v>116</v>
      </c>
      <c r="D22" s="6">
        <v>42233</v>
      </c>
      <c r="E22" t="str">
        <f>VLOOKUP(B22,[1]pivottables!$F$2:$G$52,2,0)</f>
        <v>HUN</v>
      </c>
      <c r="F22">
        <v>1</v>
      </c>
      <c r="G22">
        <f>VLOOKUP(C22,[1]products!$B$2:$E$27,4,0)</f>
        <v>137.19999999999999</v>
      </c>
      <c r="H22">
        <f t="shared" si="0"/>
        <v>137.19999999999999</v>
      </c>
    </row>
    <row r="23" spans="1:8" x14ac:dyDescent="0.3">
      <c r="A23">
        <v>22</v>
      </c>
      <c r="B23">
        <v>28</v>
      </c>
      <c r="C23">
        <v>115</v>
      </c>
      <c r="D23" s="6">
        <v>43098</v>
      </c>
      <c r="E23" t="str">
        <f>VLOOKUP(B23,[1]pivottables!$F$2:$G$52,2,0)</f>
        <v>FRA</v>
      </c>
      <c r="F23">
        <v>4</v>
      </c>
      <c r="G23">
        <f>VLOOKUP(C23,[1]products!$B$2:$E$27,4,0)</f>
        <v>22.55</v>
      </c>
      <c r="H23">
        <f t="shared" si="0"/>
        <v>90.2</v>
      </c>
    </row>
    <row r="24" spans="1:8" x14ac:dyDescent="0.3">
      <c r="A24">
        <v>23</v>
      </c>
      <c r="B24">
        <v>10</v>
      </c>
      <c r="C24">
        <v>113</v>
      </c>
      <c r="D24" s="6">
        <v>42694</v>
      </c>
      <c r="E24" t="str">
        <f>VLOOKUP(B24,[1]pivottables!$F$2:$G$52,2,0)</f>
        <v>NLD</v>
      </c>
      <c r="F24">
        <v>3</v>
      </c>
      <c r="G24">
        <f>VLOOKUP(C24,[1]products!$B$2:$E$27,4,0)</f>
        <v>9.89</v>
      </c>
      <c r="H24">
        <f t="shared" si="0"/>
        <v>29.67</v>
      </c>
    </row>
    <row r="25" spans="1:8" x14ac:dyDescent="0.3">
      <c r="A25">
        <v>24</v>
      </c>
      <c r="B25">
        <v>18</v>
      </c>
      <c r="C25">
        <v>124</v>
      </c>
      <c r="D25" s="6">
        <v>42396</v>
      </c>
      <c r="E25" t="str">
        <f>VLOOKUP(B25,[1]pivottables!$F$2:$G$52,2,0)</f>
        <v>JPN</v>
      </c>
      <c r="F25">
        <v>5</v>
      </c>
      <c r="G25">
        <f>VLOOKUP(C25,[1]products!$B$2:$E$27,4,0)</f>
        <v>108.54</v>
      </c>
      <c r="H25">
        <f t="shared" si="0"/>
        <v>542.70000000000005</v>
      </c>
    </row>
    <row r="26" spans="1:8" x14ac:dyDescent="0.3">
      <c r="A26">
        <v>25</v>
      </c>
      <c r="B26">
        <v>50</v>
      </c>
      <c r="C26">
        <v>119</v>
      </c>
      <c r="D26" s="6">
        <v>42612</v>
      </c>
      <c r="E26" t="str">
        <f>VLOOKUP(B26,[1]pivottables!$F$2:$G$52,2,0)</f>
        <v>NLD</v>
      </c>
      <c r="F26">
        <v>2</v>
      </c>
      <c r="G26">
        <f>VLOOKUP(C26,[1]products!$B$2:$E$27,4,0)</f>
        <v>74.55</v>
      </c>
      <c r="H26">
        <f t="shared" si="0"/>
        <v>149.1</v>
      </c>
    </row>
    <row r="27" spans="1:8" x14ac:dyDescent="0.3">
      <c r="A27">
        <v>26</v>
      </c>
      <c r="B27">
        <v>1</v>
      </c>
      <c r="C27">
        <v>109</v>
      </c>
      <c r="D27" s="6">
        <v>42393</v>
      </c>
      <c r="E27" t="str">
        <f>VLOOKUP(B27,[1]pivottables!$F$2:$G$52,2,0)</f>
        <v>FRA</v>
      </c>
      <c r="F27">
        <v>5</v>
      </c>
      <c r="G27">
        <f>VLOOKUP(C27,[1]products!$B$2:$E$27,4,0)</f>
        <v>143.97999999999999</v>
      </c>
      <c r="H27">
        <f t="shared" si="0"/>
        <v>719.9</v>
      </c>
    </row>
    <row r="28" spans="1:8" x14ac:dyDescent="0.3">
      <c r="A28">
        <v>27</v>
      </c>
      <c r="B28">
        <v>41</v>
      </c>
      <c r="C28">
        <v>112</v>
      </c>
      <c r="D28" s="6">
        <v>42700</v>
      </c>
      <c r="E28" t="str">
        <f>VLOOKUP(B28,[1]pivottables!$F$2:$G$52,2,0)</f>
        <v>FRA</v>
      </c>
      <c r="F28">
        <v>3</v>
      </c>
      <c r="G28">
        <f>VLOOKUP(C28,[1]products!$B$2:$E$27,4,0)</f>
        <v>106.3</v>
      </c>
      <c r="H28">
        <f t="shared" si="0"/>
        <v>318.89999999999998</v>
      </c>
    </row>
    <row r="29" spans="1:8" x14ac:dyDescent="0.3">
      <c r="A29">
        <v>28</v>
      </c>
      <c r="B29">
        <v>25</v>
      </c>
      <c r="C29">
        <v>100</v>
      </c>
      <c r="D29" s="6">
        <v>42134</v>
      </c>
      <c r="E29" t="str">
        <f>VLOOKUP(B29,[1]pivottables!$F$2:$G$52,2,0)</f>
        <v>CHN</v>
      </c>
      <c r="F29">
        <v>1</v>
      </c>
      <c r="G29">
        <f>VLOOKUP(C29,[1]products!$B$2:$E$27,4,0)</f>
        <v>30.29</v>
      </c>
      <c r="H29">
        <f t="shared" si="0"/>
        <v>30.29</v>
      </c>
    </row>
    <row r="30" spans="1:8" x14ac:dyDescent="0.3">
      <c r="A30">
        <v>29</v>
      </c>
      <c r="B30">
        <v>26</v>
      </c>
      <c r="C30">
        <v>108</v>
      </c>
      <c r="D30" s="6">
        <v>42325</v>
      </c>
      <c r="E30" t="str">
        <f>VLOOKUP(B30,[1]pivottables!$F$2:$G$52,2,0)</f>
        <v>NLD</v>
      </c>
      <c r="F30">
        <v>1</v>
      </c>
      <c r="G30">
        <f>VLOOKUP(C30,[1]products!$B$2:$E$27,4,0)</f>
        <v>137.97999999999999</v>
      </c>
      <c r="H30">
        <f t="shared" si="0"/>
        <v>137.97999999999999</v>
      </c>
    </row>
    <row r="31" spans="1:8" x14ac:dyDescent="0.3">
      <c r="A31">
        <v>30</v>
      </c>
      <c r="B31">
        <v>24</v>
      </c>
      <c r="C31">
        <v>120</v>
      </c>
      <c r="D31" s="6">
        <v>42586</v>
      </c>
      <c r="E31" t="str">
        <f>VLOOKUP(B31,[1]pivottables!$F$2:$G$52,2,0)</f>
        <v>NLD</v>
      </c>
      <c r="F31">
        <v>2</v>
      </c>
      <c r="G31">
        <f>VLOOKUP(C31,[1]products!$B$2:$E$27,4,0)</f>
        <v>17.13</v>
      </c>
      <c r="H31">
        <f t="shared" si="0"/>
        <v>34.26</v>
      </c>
    </row>
    <row r="32" spans="1:8" x14ac:dyDescent="0.3">
      <c r="A32">
        <v>31</v>
      </c>
      <c r="B32">
        <v>26</v>
      </c>
      <c r="C32">
        <v>106</v>
      </c>
      <c r="D32" s="6">
        <v>42860</v>
      </c>
      <c r="E32" t="str">
        <f>VLOOKUP(B32,[1]pivottables!$F$2:$G$52,2,0)</f>
        <v>NLD</v>
      </c>
      <c r="F32">
        <v>4</v>
      </c>
      <c r="G32">
        <f>VLOOKUP(C32,[1]products!$B$2:$E$27,4,0)</f>
        <v>132.88</v>
      </c>
      <c r="H32">
        <f t="shared" si="0"/>
        <v>531.52</v>
      </c>
    </row>
    <row r="33" spans="1:8" x14ac:dyDescent="0.3">
      <c r="A33">
        <v>32</v>
      </c>
      <c r="B33">
        <v>6</v>
      </c>
      <c r="C33">
        <v>107</v>
      </c>
      <c r="D33" s="6">
        <v>42860</v>
      </c>
      <c r="E33" t="str">
        <f>VLOOKUP(B33,[1]pivottables!$F$2:$G$52,2,0)</f>
        <v>CAN</v>
      </c>
      <c r="F33">
        <v>4</v>
      </c>
      <c r="G33">
        <f>VLOOKUP(C33,[1]products!$B$2:$E$27,4,0)</f>
        <v>43.1</v>
      </c>
      <c r="H33">
        <f t="shared" si="0"/>
        <v>172.4</v>
      </c>
    </row>
    <row r="34" spans="1:8" x14ac:dyDescent="0.3">
      <c r="A34">
        <v>33</v>
      </c>
      <c r="B34">
        <v>19</v>
      </c>
      <c r="C34">
        <v>102</v>
      </c>
      <c r="D34" s="6">
        <v>42761</v>
      </c>
      <c r="E34" t="str">
        <f>VLOOKUP(B34,[1]pivottables!$F$2:$G$52,2,0)</f>
        <v>NLD</v>
      </c>
      <c r="F34">
        <v>1</v>
      </c>
      <c r="G34">
        <f>VLOOKUP(C34,[1]products!$B$2:$E$27,4,0)</f>
        <v>14.94</v>
      </c>
      <c r="H34">
        <f t="shared" si="0"/>
        <v>14.94</v>
      </c>
    </row>
    <row r="35" spans="1:8" x14ac:dyDescent="0.3">
      <c r="A35">
        <v>34</v>
      </c>
      <c r="B35">
        <v>39</v>
      </c>
      <c r="C35">
        <v>102</v>
      </c>
      <c r="D35" s="6">
        <v>42086</v>
      </c>
      <c r="E35" t="str">
        <f>VLOOKUP(B35,[1]pivottables!$F$2:$G$52,2,0)</f>
        <v>GBR</v>
      </c>
      <c r="F35">
        <v>3</v>
      </c>
      <c r="G35">
        <f>VLOOKUP(C35,[1]products!$B$2:$E$27,4,0)</f>
        <v>14.94</v>
      </c>
      <c r="H35">
        <f t="shared" si="0"/>
        <v>44.82</v>
      </c>
    </row>
    <row r="36" spans="1:8" x14ac:dyDescent="0.3">
      <c r="A36">
        <v>35</v>
      </c>
      <c r="B36">
        <v>37</v>
      </c>
      <c r="C36">
        <v>123</v>
      </c>
      <c r="D36" s="6">
        <v>42226</v>
      </c>
      <c r="E36" t="str">
        <f>VLOOKUP(B36,[1]pivottables!$F$2:$G$52,2,0)</f>
        <v>GBR</v>
      </c>
      <c r="F36">
        <v>2</v>
      </c>
      <c r="G36">
        <f>VLOOKUP(C36,[1]products!$B$2:$E$27,4,0)</f>
        <v>39.67</v>
      </c>
      <c r="H36">
        <f t="shared" si="0"/>
        <v>79.34</v>
      </c>
    </row>
    <row r="37" spans="1:8" x14ac:dyDescent="0.3">
      <c r="A37">
        <v>36</v>
      </c>
      <c r="B37">
        <v>40</v>
      </c>
      <c r="C37">
        <v>102</v>
      </c>
      <c r="D37" s="6">
        <v>42972</v>
      </c>
      <c r="E37" t="str">
        <f>VLOOKUP(B37,[1]pivottables!$F$2:$G$52,2,0)</f>
        <v>JPN</v>
      </c>
      <c r="F37">
        <v>2</v>
      </c>
      <c r="G37">
        <f>VLOOKUP(C37,[1]products!$B$2:$E$27,4,0)</f>
        <v>14.94</v>
      </c>
      <c r="H37">
        <f t="shared" si="0"/>
        <v>29.88</v>
      </c>
    </row>
    <row r="38" spans="1:8" x14ac:dyDescent="0.3">
      <c r="A38">
        <v>37</v>
      </c>
      <c r="B38">
        <v>10</v>
      </c>
      <c r="C38">
        <v>111</v>
      </c>
      <c r="D38" s="6">
        <v>42300</v>
      </c>
      <c r="E38" t="str">
        <f>VLOOKUP(B38,[1]pivottables!$F$2:$G$52,2,0)</f>
        <v>NLD</v>
      </c>
      <c r="F38">
        <v>1</v>
      </c>
      <c r="G38">
        <f>VLOOKUP(C38,[1]products!$B$2:$E$27,4,0)</f>
        <v>149.93</v>
      </c>
      <c r="H38">
        <f t="shared" si="0"/>
        <v>149.93</v>
      </c>
    </row>
    <row r="39" spans="1:8" x14ac:dyDescent="0.3">
      <c r="A39">
        <v>38</v>
      </c>
      <c r="B39">
        <v>30</v>
      </c>
      <c r="C39">
        <v>117</v>
      </c>
      <c r="D39" s="6">
        <v>42212</v>
      </c>
      <c r="E39" t="str">
        <f>VLOOKUP(B39,[1]pivottables!$F$2:$G$52,2,0)</f>
        <v>FRA</v>
      </c>
      <c r="F39">
        <v>3</v>
      </c>
      <c r="G39">
        <f>VLOOKUP(C39,[1]products!$B$2:$E$27,4,0)</f>
        <v>47.38</v>
      </c>
      <c r="H39">
        <f t="shared" si="0"/>
        <v>142.14000000000001</v>
      </c>
    </row>
    <row r="40" spans="1:8" x14ac:dyDescent="0.3">
      <c r="A40">
        <v>39</v>
      </c>
      <c r="B40">
        <v>11</v>
      </c>
      <c r="C40">
        <v>114</v>
      </c>
      <c r="D40" s="6">
        <v>43026</v>
      </c>
      <c r="E40" t="str">
        <f>VLOOKUP(B40,[1]pivottables!$F$2:$G$52,2,0)</f>
        <v>ITA</v>
      </c>
      <c r="F40">
        <v>3</v>
      </c>
      <c r="G40">
        <f>VLOOKUP(C40,[1]products!$B$2:$E$27,4,0)</f>
        <v>74.38</v>
      </c>
      <c r="H40">
        <f t="shared" si="0"/>
        <v>223.14</v>
      </c>
    </row>
    <row r="41" spans="1:8" x14ac:dyDescent="0.3">
      <c r="A41">
        <v>40</v>
      </c>
      <c r="B41">
        <v>41</v>
      </c>
      <c r="C41">
        <v>102</v>
      </c>
      <c r="D41" s="6">
        <v>42206</v>
      </c>
      <c r="E41" t="str">
        <f>VLOOKUP(B41,[1]pivottables!$F$2:$G$52,2,0)</f>
        <v>FRA</v>
      </c>
      <c r="F41">
        <v>1</v>
      </c>
      <c r="G41">
        <f>VLOOKUP(C41,[1]products!$B$2:$E$27,4,0)</f>
        <v>14.94</v>
      </c>
      <c r="H41">
        <f t="shared" si="0"/>
        <v>14.94</v>
      </c>
    </row>
    <row r="42" spans="1:8" x14ac:dyDescent="0.3">
      <c r="A42">
        <v>41</v>
      </c>
      <c r="B42">
        <v>36</v>
      </c>
      <c r="C42">
        <v>100</v>
      </c>
      <c r="D42" s="6">
        <v>42407</v>
      </c>
      <c r="E42" t="str">
        <f>VLOOKUP(B42,[1]pivottables!$F$2:$G$52,2,0)</f>
        <v>FRA</v>
      </c>
      <c r="F42">
        <v>1</v>
      </c>
      <c r="G42">
        <f>VLOOKUP(C42,[1]products!$B$2:$E$27,4,0)</f>
        <v>30.29</v>
      </c>
      <c r="H42">
        <f t="shared" si="0"/>
        <v>30.29</v>
      </c>
    </row>
    <row r="43" spans="1:8" x14ac:dyDescent="0.3">
      <c r="A43">
        <v>42</v>
      </c>
      <c r="B43">
        <v>2</v>
      </c>
      <c r="C43">
        <v>123</v>
      </c>
      <c r="D43" s="6">
        <v>42112</v>
      </c>
      <c r="E43" t="str">
        <f>VLOOKUP(B43,[1]pivottables!$F$2:$G$52,2,0)</f>
        <v>CZE</v>
      </c>
      <c r="F43">
        <v>1</v>
      </c>
      <c r="G43">
        <f>VLOOKUP(C43,[1]products!$B$2:$E$27,4,0)</f>
        <v>39.67</v>
      </c>
      <c r="H43">
        <f t="shared" si="0"/>
        <v>39.67</v>
      </c>
    </row>
    <row r="44" spans="1:8" x14ac:dyDescent="0.3">
      <c r="A44">
        <v>43</v>
      </c>
      <c r="B44">
        <v>42</v>
      </c>
      <c r="C44">
        <v>113</v>
      </c>
      <c r="D44" s="6">
        <v>42251</v>
      </c>
      <c r="E44" t="str">
        <f>VLOOKUP(B44,[1]pivottables!$F$2:$G$52,2,0)</f>
        <v>HUN</v>
      </c>
      <c r="F44">
        <v>5</v>
      </c>
      <c r="G44">
        <f>VLOOKUP(C44,[1]products!$B$2:$E$27,4,0)</f>
        <v>9.89</v>
      </c>
      <c r="H44">
        <f t="shared" si="0"/>
        <v>49.45</v>
      </c>
    </row>
    <row r="45" spans="1:8" x14ac:dyDescent="0.3">
      <c r="A45">
        <v>44</v>
      </c>
      <c r="B45">
        <v>27</v>
      </c>
      <c r="C45">
        <v>103</v>
      </c>
      <c r="D45" s="6">
        <v>42693</v>
      </c>
      <c r="E45" t="str">
        <f>VLOOKUP(B45,[1]pivottables!$F$2:$G$52,2,0)</f>
        <v>ITA</v>
      </c>
      <c r="F45">
        <v>2</v>
      </c>
      <c r="G45">
        <f>VLOOKUP(C45,[1]products!$B$2:$E$27,4,0)</f>
        <v>108.96</v>
      </c>
      <c r="H45">
        <f t="shared" si="0"/>
        <v>217.92</v>
      </c>
    </row>
    <row r="46" spans="1:8" x14ac:dyDescent="0.3">
      <c r="A46">
        <v>45</v>
      </c>
      <c r="B46">
        <v>45</v>
      </c>
      <c r="C46">
        <v>124</v>
      </c>
      <c r="D46" s="6">
        <v>42117</v>
      </c>
      <c r="E46" t="str">
        <f>VLOOKUP(B46,[1]pivottables!$F$2:$G$52,2,0)</f>
        <v>NLD</v>
      </c>
      <c r="F46">
        <v>1</v>
      </c>
      <c r="G46">
        <f>VLOOKUP(C46,[1]products!$B$2:$E$27,4,0)</f>
        <v>108.54</v>
      </c>
      <c r="H46">
        <f t="shared" si="0"/>
        <v>108.54</v>
      </c>
    </row>
    <row r="47" spans="1:8" x14ac:dyDescent="0.3">
      <c r="A47">
        <v>46</v>
      </c>
      <c r="B47">
        <v>1</v>
      </c>
      <c r="C47">
        <v>106</v>
      </c>
      <c r="D47" s="6">
        <v>42533</v>
      </c>
      <c r="E47" t="str">
        <f>VLOOKUP(B47,[1]pivottables!$F$2:$G$52,2,0)</f>
        <v>FRA</v>
      </c>
      <c r="F47">
        <v>2</v>
      </c>
      <c r="G47">
        <f>VLOOKUP(C47,[1]products!$B$2:$E$27,4,0)</f>
        <v>132.88</v>
      </c>
      <c r="H47">
        <f t="shared" si="0"/>
        <v>265.76</v>
      </c>
    </row>
    <row r="48" spans="1:8" x14ac:dyDescent="0.3">
      <c r="A48">
        <v>47</v>
      </c>
      <c r="B48">
        <v>6</v>
      </c>
      <c r="C48">
        <v>109</v>
      </c>
      <c r="D48" s="6">
        <v>42193</v>
      </c>
      <c r="E48" t="str">
        <f>VLOOKUP(B48,[1]pivottables!$F$2:$G$52,2,0)</f>
        <v>CAN</v>
      </c>
      <c r="F48">
        <v>4</v>
      </c>
      <c r="G48">
        <f>VLOOKUP(C48,[1]products!$B$2:$E$27,4,0)</f>
        <v>143.97999999999999</v>
      </c>
      <c r="H48">
        <f t="shared" si="0"/>
        <v>575.91999999999996</v>
      </c>
    </row>
    <row r="49" spans="1:8" x14ac:dyDescent="0.3">
      <c r="A49">
        <v>48</v>
      </c>
      <c r="B49">
        <v>12</v>
      </c>
      <c r="C49">
        <v>116</v>
      </c>
      <c r="D49" s="6">
        <v>43048</v>
      </c>
      <c r="E49" t="str">
        <f>VLOOKUP(B49,[1]pivottables!$F$2:$G$52,2,0)</f>
        <v>FRA</v>
      </c>
      <c r="F49">
        <v>1</v>
      </c>
      <c r="G49">
        <f>VLOOKUP(C49,[1]products!$B$2:$E$27,4,0)</f>
        <v>137.19999999999999</v>
      </c>
      <c r="H49">
        <f t="shared" si="0"/>
        <v>137.19999999999999</v>
      </c>
    </row>
    <row r="50" spans="1:8" x14ac:dyDescent="0.3">
      <c r="A50">
        <v>49</v>
      </c>
      <c r="B50">
        <v>3</v>
      </c>
      <c r="C50">
        <v>107</v>
      </c>
      <c r="D50" s="6">
        <v>43056</v>
      </c>
      <c r="E50" t="str">
        <f>VLOOKUP(B50,[1]pivottables!$F$2:$G$52,2,0)</f>
        <v>NLD</v>
      </c>
      <c r="F50">
        <v>1</v>
      </c>
      <c r="G50">
        <f>VLOOKUP(C50,[1]products!$B$2:$E$27,4,0)</f>
        <v>43.1</v>
      </c>
      <c r="H50">
        <f t="shared" si="0"/>
        <v>43.1</v>
      </c>
    </row>
    <row r="51" spans="1:8" x14ac:dyDescent="0.3">
      <c r="A51">
        <v>50</v>
      </c>
      <c r="B51">
        <v>6</v>
      </c>
      <c r="C51">
        <v>118</v>
      </c>
      <c r="D51" s="6">
        <v>42101</v>
      </c>
      <c r="E51" t="str">
        <f>VLOOKUP(B51,[1]pivottables!$F$2:$G$52,2,0)</f>
        <v>CAN</v>
      </c>
      <c r="F51">
        <v>1</v>
      </c>
      <c r="G51">
        <f>VLOOKUP(C51,[1]products!$B$2:$E$27,4,0)</f>
        <v>56.48</v>
      </c>
      <c r="H51">
        <f t="shared" si="0"/>
        <v>56.48</v>
      </c>
    </row>
    <row r="52" spans="1:8" x14ac:dyDescent="0.3">
      <c r="A52">
        <v>51</v>
      </c>
      <c r="B52">
        <v>39</v>
      </c>
      <c r="C52">
        <v>108</v>
      </c>
      <c r="D52" s="6">
        <v>43007</v>
      </c>
      <c r="E52" t="str">
        <f>VLOOKUP(B52,[1]pivottables!$F$2:$G$52,2,0)</f>
        <v>GBR</v>
      </c>
      <c r="F52">
        <v>2</v>
      </c>
      <c r="G52">
        <f>VLOOKUP(C52,[1]products!$B$2:$E$27,4,0)</f>
        <v>137.97999999999999</v>
      </c>
      <c r="H52">
        <f t="shared" si="0"/>
        <v>275.95999999999998</v>
      </c>
    </row>
    <row r="53" spans="1:8" x14ac:dyDescent="0.3">
      <c r="A53">
        <v>52</v>
      </c>
      <c r="B53">
        <v>10</v>
      </c>
      <c r="C53">
        <v>123</v>
      </c>
      <c r="D53" s="6">
        <v>42661</v>
      </c>
      <c r="E53" t="str">
        <f>VLOOKUP(B53,[1]pivottables!$F$2:$G$52,2,0)</f>
        <v>NLD</v>
      </c>
      <c r="F53">
        <v>5</v>
      </c>
      <c r="G53">
        <f>VLOOKUP(C53,[1]products!$B$2:$E$27,4,0)</f>
        <v>39.67</v>
      </c>
      <c r="H53">
        <f t="shared" si="0"/>
        <v>198.35000000000002</v>
      </c>
    </row>
    <row r="54" spans="1:8" x14ac:dyDescent="0.3">
      <c r="A54">
        <v>53</v>
      </c>
      <c r="B54">
        <v>37</v>
      </c>
      <c r="C54">
        <v>117</v>
      </c>
      <c r="D54" s="6">
        <v>42581</v>
      </c>
      <c r="E54" t="str">
        <f>VLOOKUP(B54,[1]pivottables!$F$2:$G$52,2,0)</f>
        <v>GBR</v>
      </c>
      <c r="F54">
        <v>1</v>
      </c>
      <c r="G54">
        <f>VLOOKUP(C54,[1]products!$B$2:$E$27,4,0)</f>
        <v>47.38</v>
      </c>
      <c r="H54">
        <f t="shared" si="0"/>
        <v>47.38</v>
      </c>
    </row>
    <row r="55" spans="1:8" x14ac:dyDescent="0.3">
      <c r="A55">
        <v>54</v>
      </c>
      <c r="B55">
        <v>10</v>
      </c>
      <c r="C55">
        <v>125</v>
      </c>
      <c r="D55" s="6">
        <v>42360</v>
      </c>
      <c r="E55" t="str">
        <f>VLOOKUP(B55,[1]pivottables!$F$2:$G$52,2,0)</f>
        <v>NLD</v>
      </c>
      <c r="F55">
        <v>4</v>
      </c>
      <c r="G55">
        <f>VLOOKUP(C55,[1]products!$B$2:$E$27,4,0)</f>
        <v>90.44</v>
      </c>
      <c r="H55">
        <f t="shared" si="0"/>
        <v>361.76</v>
      </c>
    </row>
    <row r="56" spans="1:8" x14ac:dyDescent="0.3">
      <c r="A56">
        <v>55</v>
      </c>
      <c r="B56">
        <v>9</v>
      </c>
      <c r="C56">
        <v>105</v>
      </c>
      <c r="D56" s="6">
        <v>42264</v>
      </c>
      <c r="E56" t="str">
        <f>VLOOKUP(B56,[1]pivottables!$F$2:$G$52,2,0)</f>
        <v>HUN</v>
      </c>
      <c r="F56">
        <v>3</v>
      </c>
      <c r="G56">
        <f>VLOOKUP(C56,[1]products!$B$2:$E$27,4,0)</f>
        <v>149.93</v>
      </c>
      <c r="H56">
        <f t="shared" si="0"/>
        <v>449.79</v>
      </c>
    </row>
    <row r="57" spans="1:8" x14ac:dyDescent="0.3">
      <c r="A57">
        <v>56</v>
      </c>
      <c r="B57">
        <v>32</v>
      </c>
      <c r="C57">
        <v>121</v>
      </c>
      <c r="D57" s="6">
        <v>42655</v>
      </c>
      <c r="E57" t="str">
        <f>VLOOKUP(B57,[1]pivottables!$F$2:$G$52,2,0)</f>
        <v>NLD</v>
      </c>
      <c r="F57">
        <v>5</v>
      </c>
      <c r="G57">
        <f>VLOOKUP(C57,[1]products!$B$2:$E$27,4,0)</f>
        <v>49.09</v>
      </c>
      <c r="H57">
        <f t="shared" si="0"/>
        <v>245.45000000000002</v>
      </c>
    </row>
    <row r="58" spans="1:8" x14ac:dyDescent="0.3">
      <c r="A58">
        <v>57</v>
      </c>
      <c r="B58">
        <v>6</v>
      </c>
      <c r="C58">
        <v>101</v>
      </c>
      <c r="D58" s="6">
        <v>42417</v>
      </c>
      <c r="E58" t="str">
        <f>VLOOKUP(B58,[1]pivottables!$F$2:$G$52,2,0)</f>
        <v>CAN</v>
      </c>
      <c r="F58">
        <v>4</v>
      </c>
      <c r="G58">
        <f>VLOOKUP(C58,[1]products!$B$2:$E$27,4,0)</f>
        <v>108.61</v>
      </c>
      <c r="H58">
        <f t="shared" si="0"/>
        <v>434.44</v>
      </c>
    </row>
    <row r="59" spans="1:8" x14ac:dyDescent="0.3">
      <c r="A59">
        <v>58</v>
      </c>
      <c r="B59">
        <v>12</v>
      </c>
      <c r="C59">
        <v>105</v>
      </c>
      <c r="D59" s="6">
        <v>42109</v>
      </c>
      <c r="E59" t="str">
        <f>VLOOKUP(B59,[1]pivottables!$F$2:$G$52,2,0)</f>
        <v>FRA</v>
      </c>
      <c r="F59">
        <v>3</v>
      </c>
      <c r="G59">
        <f>VLOOKUP(C59,[1]products!$B$2:$E$27,4,0)</f>
        <v>149.93</v>
      </c>
      <c r="H59">
        <f t="shared" si="0"/>
        <v>449.79</v>
      </c>
    </row>
    <row r="60" spans="1:8" x14ac:dyDescent="0.3">
      <c r="A60">
        <v>59</v>
      </c>
      <c r="B60">
        <v>39</v>
      </c>
      <c r="C60">
        <v>123</v>
      </c>
      <c r="D60" s="6">
        <v>42484</v>
      </c>
      <c r="E60" t="str">
        <f>VLOOKUP(B60,[1]pivottables!$F$2:$G$52,2,0)</f>
        <v>GBR</v>
      </c>
      <c r="F60">
        <v>2</v>
      </c>
      <c r="G60">
        <f>VLOOKUP(C60,[1]products!$B$2:$E$27,4,0)</f>
        <v>39.67</v>
      </c>
      <c r="H60">
        <f t="shared" si="0"/>
        <v>79.34</v>
      </c>
    </row>
    <row r="61" spans="1:8" x14ac:dyDescent="0.3">
      <c r="A61">
        <v>60</v>
      </c>
      <c r="B61">
        <v>31</v>
      </c>
      <c r="C61">
        <v>112</v>
      </c>
      <c r="D61" s="6">
        <v>42839</v>
      </c>
      <c r="E61" t="str">
        <f>VLOOKUP(B61,[1]pivottables!$F$2:$G$52,2,0)</f>
        <v>GBR</v>
      </c>
      <c r="F61">
        <v>3</v>
      </c>
      <c r="G61">
        <f>VLOOKUP(C61,[1]products!$B$2:$E$27,4,0)</f>
        <v>106.3</v>
      </c>
      <c r="H61">
        <f t="shared" si="0"/>
        <v>318.89999999999998</v>
      </c>
    </row>
    <row r="62" spans="1:8" x14ac:dyDescent="0.3">
      <c r="A62">
        <v>61</v>
      </c>
      <c r="B62">
        <v>23</v>
      </c>
      <c r="C62">
        <v>116</v>
      </c>
      <c r="D62" s="6">
        <v>42427</v>
      </c>
      <c r="E62" t="str">
        <f>VLOOKUP(B62,[1]pivottables!$F$2:$G$52,2,0)</f>
        <v>GBR</v>
      </c>
      <c r="F62">
        <v>5</v>
      </c>
      <c r="G62">
        <f>VLOOKUP(C62,[1]products!$B$2:$E$27,4,0)</f>
        <v>137.19999999999999</v>
      </c>
      <c r="H62">
        <f t="shared" si="0"/>
        <v>686</v>
      </c>
    </row>
    <row r="63" spans="1:8" x14ac:dyDescent="0.3">
      <c r="A63">
        <v>62</v>
      </c>
      <c r="B63">
        <v>31</v>
      </c>
      <c r="C63">
        <v>125</v>
      </c>
      <c r="D63" s="6">
        <v>42249</v>
      </c>
      <c r="E63" t="str">
        <f>VLOOKUP(B63,[1]pivottables!$F$2:$G$52,2,0)</f>
        <v>GBR</v>
      </c>
      <c r="F63">
        <v>3</v>
      </c>
      <c r="G63">
        <f>VLOOKUP(C63,[1]products!$B$2:$E$27,4,0)</f>
        <v>90.44</v>
      </c>
      <c r="H63">
        <f t="shared" si="0"/>
        <v>271.32</v>
      </c>
    </row>
    <row r="64" spans="1:8" x14ac:dyDescent="0.3">
      <c r="A64">
        <v>63</v>
      </c>
      <c r="B64">
        <v>45</v>
      </c>
      <c r="C64">
        <v>115</v>
      </c>
      <c r="D64" s="6">
        <v>42572</v>
      </c>
      <c r="E64" t="str">
        <f>VLOOKUP(B64,[1]pivottables!$F$2:$G$52,2,0)</f>
        <v>NLD</v>
      </c>
      <c r="F64">
        <v>2</v>
      </c>
      <c r="G64">
        <f>VLOOKUP(C64,[1]products!$B$2:$E$27,4,0)</f>
        <v>22.55</v>
      </c>
      <c r="H64">
        <f t="shared" si="0"/>
        <v>45.1</v>
      </c>
    </row>
    <row r="65" spans="1:8" x14ac:dyDescent="0.3">
      <c r="A65">
        <v>64</v>
      </c>
      <c r="B65">
        <v>27</v>
      </c>
      <c r="C65">
        <v>125</v>
      </c>
      <c r="D65" s="6">
        <v>42323</v>
      </c>
      <c r="E65" t="str">
        <f>VLOOKUP(B65,[1]pivottables!$F$2:$G$52,2,0)</f>
        <v>ITA</v>
      </c>
      <c r="F65">
        <v>5</v>
      </c>
      <c r="G65">
        <f>VLOOKUP(C65,[1]products!$B$2:$E$27,4,0)</f>
        <v>90.44</v>
      </c>
      <c r="H65">
        <f t="shared" si="0"/>
        <v>452.2</v>
      </c>
    </row>
    <row r="66" spans="1:8" x14ac:dyDescent="0.3">
      <c r="A66">
        <v>65</v>
      </c>
      <c r="B66">
        <v>33</v>
      </c>
      <c r="C66">
        <v>110</v>
      </c>
      <c r="D66" s="6">
        <v>43011</v>
      </c>
      <c r="E66" t="str">
        <f>VLOOKUP(B66,[1]pivottables!$F$2:$G$52,2,0)</f>
        <v>NLD</v>
      </c>
      <c r="F66">
        <v>2</v>
      </c>
      <c r="G66">
        <f>VLOOKUP(C66,[1]products!$B$2:$E$27,4,0)</f>
        <v>10.76</v>
      </c>
      <c r="H66">
        <f t="shared" si="0"/>
        <v>21.52</v>
      </c>
    </row>
    <row r="67" spans="1:8" x14ac:dyDescent="0.3">
      <c r="A67">
        <v>66</v>
      </c>
      <c r="B67">
        <v>11</v>
      </c>
      <c r="C67">
        <v>118</v>
      </c>
      <c r="D67" s="6">
        <v>42926</v>
      </c>
      <c r="E67" t="str">
        <f>VLOOKUP(B67,[1]pivottables!$F$2:$G$52,2,0)</f>
        <v>ITA</v>
      </c>
      <c r="F67">
        <v>1</v>
      </c>
      <c r="G67">
        <f>VLOOKUP(C67,[1]products!$B$2:$E$27,4,0)</f>
        <v>56.48</v>
      </c>
      <c r="H67">
        <f t="shared" ref="H67:H130" si="1">G67*F67</f>
        <v>56.48</v>
      </c>
    </row>
    <row r="68" spans="1:8" x14ac:dyDescent="0.3">
      <c r="A68">
        <v>67</v>
      </c>
      <c r="B68">
        <v>14</v>
      </c>
      <c r="C68">
        <v>104</v>
      </c>
      <c r="D68" s="6">
        <v>42521</v>
      </c>
      <c r="E68" t="str">
        <f>VLOOKUP(B68,[1]pivottables!$F$2:$G$52,2,0)</f>
        <v>CZE</v>
      </c>
      <c r="F68">
        <v>5</v>
      </c>
      <c r="G68">
        <f>VLOOKUP(C68,[1]products!$B$2:$E$27,4,0)</f>
        <v>122.18</v>
      </c>
      <c r="H68">
        <f t="shared" si="1"/>
        <v>610.90000000000009</v>
      </c>
    </row>
    <row r="69" spans="1:8" x14ac:dyDescent="0.3">
      <c r="A69">
        <v>68</v>
      </c>
      <c r="B69">
        <v>48</v>
      </c>
      <c r="C69">
        <v>107</v>
      </c>
      <c r="D69" s="6">
        <v>42135</v>
      </c>
      <c r="E69" t="str">
        <f>VLOOKUP(B69,[1]pivottables!$F$2:$G$52,2,0)</f>
        <v>GBR</v>
      </c>
      <c r="F69">
        <v>3</v>
      </c>
      <c r="G69">
        <f>VLOOKUP(C69,[1]products!$B$2:$E$27,4,0)</f>
        <v>43.1</v>
      </c>
      <c r="H69">
        <f t="shared" si="1"/>
        <v>129.30000000000001</v>
      </c>
    </row>
    <row r="70" spans="1:8" x14ac:dyDescent="0.3">
      <c r="A70">
        <v>69</v>
      </c>
      <c r="B70">
        <v>21</v>
      </c>
      <c r="C70">
        <v>112</v>
      </c>
      <c r="D70" s="6">
        <v>42712</v>
      </c>
      <c r="E70" t="str">
        <f>VLOOKUP(B70,[1]pivottables!$F$2:$G$52,2,0)</f>
        <v>HUN</v>
      </c>
      <c r="F70">
        <v>4</v>
      </c>
      <c r="G70">
        <f>VLOOKUP(C70,[1]products!$B$2:$E$27,4,0)</f>
        <v>106.3</v>
      </c>
      <c r="H70">
        <f t="shared" si="1"/>
        <v>425.2</v>
      </c>
    </row>
    <row r="71" spans="1:8" x14ac:dyDescent="0.3">
      <c r="A71">
        <v>70</v>
      </c>
      <c r="B71">
        <v>30</v>
      </c>
      <c r="C71">
        <v>105</v>
      </c>
      <c r="D71" s="6">
        <v>42100</v>
      </c>
      <c r="E71" t="str">
        <f>VLOOKUP(B71,[1]pivottables!$F$2:$G$52,2,0)</f>
        <v>FRA</v>
      </c>
      <c r="F71">
        <v>4</v>
      </c>
      <c r="G71">
        <f>VLOOKUP(C71,[1]products!$B$2:$E$27,4,0)</f>
        <v>149.93</v>
      </c>
      <c r="H71">
        <f t="shared" si="1"/>
        <v>599.72</v>
      </c>
    </row>
    <row r="72" spans="1:8" x14ac:dyDescent="0.3">
      <c r="A72">
        <v>71</v>
      </c>
      <c r="B72">
        <v>38</v>
      </c>
      <c r="C72">
        <v>108</v>
      </c>
      <c r="D72" s="6">
        <v>42762</v>
      </c>
      <c r="E72" t="str">
        <f>VLOOKUP(B72,[1]pivottables!$F$2:$G$52,2,0)</f>
        <v>USA</v>
      </c>
      <c r="F72">
        <v>1</v>
      </c>
      <c r="G72">
        <f>VLOOKUP(C72,[1]products!$B$2:$E$27,4,0)</f>
        <v>137.97999999999999</v>
      </c>
      <c r="H72">
        <f t="shared" si="1"/>
        <v>137.97999999999999</v>
      </c>
    </row>
    <row r="73" spans="1:8" x14ac:dyDescent="0.3">
      <c r="A73">
        <v>72</v>
      </c>
      <c r="B73">
        <v>9</v>
      </c>
      <c r="C73">
        <v>109</v>
      </c>
      <c r="D73" s="6">
        <v>43030</v>
      </c>
      <c r="E73" t="str">
        <f>VLOOKUP(B73,[1]pivottables!$F$2:$G$52,2,0)</f>
        <v>HUN</v>
      </c>
      <c r="F73">
        <v>1</v>
      </c>
      <c r="G73">
        <f>VLOOKUP(C73,[1]products!$B$2:$E$27,4,0)</f>
        <v>143.97999999999999</v>
      </c>
      <c r="H73">
        <f t="shared" si="1"/>
        <v>143.97999999999999</v>
      </c>
    </row>
    <row r="74" spans="1:8" x14ac:dyDescent="0.3">
      <c r="A74">
        <v>73</v>
      </c>
      <c r="B74">
        <v>35</v>
      </c>
      <c r="C74">
        <v>113</v>
      </c>
      <c r="D74" s="6">
        <v>42221</v>
      </c>
      <c r="E74" t="str">
        <f>VLOOKUP(B74,[1]pivottables!$F$2:$G$52,2,0)</f>
        <v>JPN</v>
      </c>
      <c r="F74">
        <v>1</v>
      </c>
      <c r="G74">
        <f>VLOOKUP(C74,[1]products!$B$2:$E$27,4,0)</f>
        <v>9.89</v>
      </c>
      <c r="H74">
        <f t="shared" si="1"/>
        <v>9.89</v>
      </c>
    </row>
    <row r="75" spans="1:8" x14ac:dyDescent="0.3">
      <c r="A75">
        <v>74</v>
      </c>
      <c r="B75">
        <v>16</v>
      </c>
      <c r="C75">
        <v>114</v>
      </c>
      <c r="D75" s="6">
        <v>42036</v>
      </c>
      <c r="E75" t="str">
        <f>VLOOKUP(B75,[1]pivottables!$F$2:$G$52,2,0)</f>
        <v>JPN</v>
      </c>
      <c r="F75">
        <v>5</v>
      </c>
      <c r="G75">
        <f>VLOOKUP(C75,[1]products!$B$2:$E$27,4,0)</f>
        <v>74.38</v>
      </c>
      <c r="H75">
        <f t="shared" si="1"/>
        <v>371.9</v>
      </c>
    </row>
    <row r="76" spans="1:8" x14ac:dyDescent="0.3">
      <c r="A76">
        <v>75</v>
      </c>
      <c r="B76">
        <v>42</v>
      </c>
      <c r="C76">
        <v>106</v>
      </c>
      <c r="D76" s="6">
        <v>42881</v>
      </c>
      <c r="E76" t="str">
        <f>VLOOKUP(B76,[1]pivottables!$F$2:$G$52,2,0)</f>
        <v>HUN</v>
      </c>
      <c r="F76">
        <v>2</v>
      </c>
      <c r="G76">
        <f>VLOOKUP(C76,[1]products!$B$2:$E$27,4,0)</f>
        <v>132.88</v>
      </c>
      <c r="H76">
        <f t="shared" si="1"/>
        <v>265.76</v>
      </c>
    </row>
    <row r="77" spans="1:8" x14ac:dyDescent="0.3">
      <c r="A77">
        <v>76</v>
      </c>
      <c r="B77">
        <v>42</v>
      </c>
      <c r="C77">
        <v>119</v>
      </c>
      <c r="D77" s="6">
        <v>42972</v>
      </c>
      <c r="E77" t="str">
        <f>VLOOKUP(B77,[1]pivottables!$F$2:$G$52,2,0)</f>
        <v>HUN</v>
      </c>
      <c r="F77">
        <v>1</v>
      </c>
      <c r="G77">
        <f>VLOOKUP(C77,[1]products!$B$2:$E$27,4,0)</f>
        <v>74.55</v>
      </c>
      <c r="H77">
        <f t="shared" si="1"/>
        <v>74.55</v>
      </c>
    </row>
    <row r="78" spans="1:8" x14ac:dyDescent="0.3">
      <c r="A78">
        <v>77</v>
      </c>
      <c r="B78">
        <v>44</v>
      </c>
      <c r="C78">
        <v>123</v>
      </c>
      <c r="D78" s="6">
        <v>42799</v>
      </c>
      <c r="E78" t="str">
        <f>VLOOKUP(B78,[1]pivottables!$F$2:$G$52,2,0)</f>
        <v>CHN</v>
      </c>
      <c r="F78">
        <v>5</v>
      </c>
      <c r="G78">
        <f>VLOOKUP(C78,[1]products!$B$2:$E$27,4,0)</f>
        <v>39.67</v>
      </c>
      <c r="H78">
        <f t="shared" si="1"/>
        <v>198.35000000000002</v>
      </c>
    </row>
    <row r="79" spans="1:8" x14ac:dyDescent="0.3">
      <c r="A79">
        <v>78</v>
      </c>
      <c r="B79">
        <v>28</v>
      </c>
      <c r="C79">
        <v>120</v>
      </c>
      <c r="D79" s="6">
        <v>42370</v>
      </c>
      <c r="E79" t="str">
        <f>VLOOKUP(B79,[1]pivottables!$F$2:$G$52,2,0)</f>
        <v>FRA</v>
      </c>
      <c r="F79">
        <v>5</v>
      </c>
      <c r="G79">
        <f>VLOOKUP(C79,[1]products!$B$2:$E$27,4,0)</f>
        <v>17.13</v>
      </c>
      <c r="H79">
        <f t="shared" si="1"/>
        <v>85.649999999999991</v>
      </c>
    </row>
    <row r="80" spans="1:8" x14ac:dyDescent="0.3">
      <c r="A80">
        <v>79</v>
      </c>
      <c r="B80">
        <v>7</v>
      </c>
      <c r="C80">
        <v>117</v>
      </c>
      <c r="D80" s="6">
        <v>42623</v>
      </c>
      <c r="E80" t="str">
        <f>VLOOKUP(B80,[1]pivottables!$F$2:$G$52,2,0)</f>
        <v>CAN</v>
      </c>
      <c r="F80">
        <v>5</v>
      </c>
      <c r="G80">
        <f>VLOOKUP(C80,[1]products!$B$2:$E$27,4,0)</f>
        <v>47.38</v>
      </c>
      <c r="H80">
        <f t="shared" si="1"/>
        <v>236.9</v>
      </c>
    </row>
    <row r="81" spans="1:8" x14ac:dyDescent="0.3">
      <c r="A81">
        <v>80</v>
      </c>
      <c r="B81">
        <v>26</v>
      </c>
      <c r="C81">
        <v>121</v>
      </c>
      <c r="D81" s="6">
        <v>42590</v>
      </c>
      <c r="E81" t="str">
        <f>VLOOKUP(B81,[1]pivottables!$F$2:$G$52,2,0)</f>
        <v>NLD</v>
      </c>
      <c r="F81">
        <v>1</v>
      </c>
      <c r="G81">
        <f>VLOOKUP(C81,[1]products!$B$2:$E$27,4,0)</f>
        <v>49.09</v>
      </c>
      <c r="H81">
        <f t="shared" si="1"/>
        <v>49.09</v>
      </c>
    </row>
    <row r="82" spans="1:8" x14ac:dyDescent="0.3">
      <c r="A82">
        <v>81</v>
      </c>
      <c r="B82">
        <v>20</v>
      </c>
      <c r="C82">
        <v>108</v>
      </c>
      <c r="D82" s="6">
        <v>42548</v>
      </c>
      <c r="E82" t="str">
        <f>VLOOKUP(B82,[1]pivottables!$F$2:$G$52,2,0)</f>
        <v>FRA</v>
      </c>
      <c r="F82">
        <v>3</v>
      </c>
      <c r="G82">
        <f>VLOOKUP(C82,[1]products!$B$2:$E$27,4,0)</f>
        <v>137.97999999999999</v>
      </c>
      <c r="H82">
        <f t="shared" si="1"/>
        <v>413.93999999999994</v>
      </c>
    </row>
    <row r="83" spans="1:8" x14ac:dyDescent="0.3">
      <c r="A83">
        <v>82</v>
      </c>
      <c r="B83">
        <v>9</v>
      </c>
      <c r="C83">
        <v>109</v>
      </c>
      <c r="D83" s="6">
        <v>42250</v>
      </c>
      <c r="E83" t="str">
        <f>VLOOKUP(B83,[1]pivottables!$F$2:$G$52,2,0)</f>
        <v>HUN</v>
      </c>
      <c r="F83">
        <v>3</v>
      </c>
      <c r="G83">
        <f>VLOOKUP(C83,[1]products!$B$2:$E$27,4,0)</f>
        <v>143.97999999999999</v>
      </c>
      <c r="H83">
        <f t="shared" si="1"/>
        <v>431.93999999999994</v>
      </c>
    </row>
    <row r="84" spans="1:8" x14ac:dyDescent="0.3">
      <c r="A84">
        <v>83</v>
      </c>
      <c r="B84">
        <v>9</v>
      </c>
      <c r="C84">
        <v>120</v>
      </c>
      <c r="D84" s="6">
        <v>42063</v>
      </c>
      <c r="E84" t="str">
        <f>VLOOKUP(B84,[1]pivottables!$F$2:$G$52,2,0)</f>
        <v>HUN</v>
      </c>
      <c r="F84">
        <v>1</v>
      </c>
      <c r="G84">
        <f>VLOOKUP(C84,[1]products!$B$2:$E$27,4,0)</f>
        <v>17.13</v>
      </c>
      <c r="H84">
        <f t="shared" si="1"/>
        <v>17.13</v>
      </c>
    </row>
    <row r="85" spans="1:8" x14ac:dyDescent="0.3">
      <c r="A85">
        <v>84</v>
      </c>
      <c r="B85">
        <v>39</v>
      </c>
      <c r="C85">
        <v>124</v>
      </c>
      <c r="D85" s="6">
        <v>42996</v>
      </c>
      <c r="E85" t="str">
        <f>VLOOKUP(B85,[1]pivottables!$F$2:$G$52,2,0)</f>
        <v>GBR</v>
      </c>
      <c r="F85">
        <v>4</v>
      </c>
      <c r="G85">
        <f>VLOOKUP(C85,[1]products!$B$2:$E$27,4,0)</f>
        <v>108.54</v>
      </c>
      <c r="H85">
        <f t="shared" si="1"/>
        <v>434.16</v>
      </c>
    </row>
    <row r="86" spans="1:8" x14ac:dyDescent="0.3">
      <c r="A86">
        <v>85</v>
      </c>
      <c r="B86">
        <v>5</v>
      </c>
      <c r="C86">
        <v>102</v>
      </c>
      <c r="D86" s="6">
        <v>42304</v>
      </c>
      <c r="E86" t="str">
        <f>VLOOKUP(B86,[1]pivottables!$F$2:$G$52,2,0)</f>
        <v>USA</v>
      </c>
      <c r="F86">
        <v>3</v>
      </c>
      <c r="G86">
        <f>VLOOKUP(C86,[1]products!$B$2:$E$27,4,0)</f>
        <v>14.94</v>
      </c>
      <c r="H86">
        <f t="shared" si="1"/>
        <v>44.82</v>
      </c>
    </row>
    <row r="87" spans="1:8" x14ac:dyDescent="0.3">
      <c r="A87">
        <v>86</v>
      </c>
      <c r="B87">
        <v>24</v>
      </c>
      <c r="C87">
        <v>114</v>
      </c>
      <c r="D87" s="6">
        <v>42827</v>
      </c>
      <c r="E87" t="str">
        <f>VLOOKUP(B87,[1]pivottables!$F$2:$G$52,2,0)</f>
        <v>NLD</v>
      </c>
      <c r="F87">
        <v>1</v>
      </c>
      <c r="G87">
        <f>VLOOKUP(C87,[1]products!$B$2:$E$27,4,0)</f>
        <v>74.38</v>
      </c>
      <c r="H87">
        <f t="shared" si="1"/>
        <v>74.38</v>
      </c>
    </row>
    <row r="88" spans="1:8" x14ac:dyDescent="0.3">
      <c r="A88">
        <v>87</v>
      </c>
      <c r="B88">
        <v>10</v>
      </c>
      <c r="C88">
        <v>101</v>
      </c>
      <c r="D88" s="6">
        <v>42026</v>
      </c>
      <c r="E88" t="str">
        <f>VLOOKUP(B88,[1]pivottables!$F$2:$G$52,2,0)</f>
        <v>NLD</v>
      </c>
      <c r="F88">
        <v>4</v>
      </c>
      <c r="G88">
        <f>VLOOKUP(C88,[1]products!$B$2:$E$27,4,0)</f>
        <v>108.61</v>
      </c>
      <c r="H88">
        <f t="shared" si="1"/>
        <v>434.44</v>
      </c>
    </row>
    <row r="89" spans="1:8" x14ac:dyDescent="0.3">
      <c r="A89">
        <v>88</v>
      </c>
      <c r="B89">
        <v>44</v>
      </c>
      <c r="C89">
        <v>103</v>
      </c>
      <c r="D89" s="6">
        <v>42232</v>
      </c>
      <c r="E89" t="str">
        <f>VLOOKUP(B89,[1]pivottables!$F$2:$G$52,2,0)</f>
        <v>CHN</v>
      </c>
      <c r="F89">
        <v>5</v>
      </c>
      <c r="G89">
        <f>VLOOKUP(C89,[1]products!$B$2:$E$27,4,0)</f>
        <v>108.96</v>
      </c>
      <c r="H89">
        <f t="shared" si="1"/>
        <v>544.79999999999995</v>
      </c>
    </row>
    <row r="90" spans="1:8" x14ac:dyDescent="0.3">
      <c r="A90">
        <v>89</v>
      </c>
      <c r="B90">
        <v>10</v>
      </c>
      <c r="C90">
        <v>108</v>
      </c>
      <c r="D90" s="6">
        <v>42897</v>
      </c>
      <c r="E90" t="str">
        <f>VLOOKUP(B90,[1]pivottables!$F$2:$G$52,2,0)</f>
        <v>NLD</v>
      </c>
      <c r="F90">
        <v>4</v>
      </c>
      <c r="G90">
        <f>VLOOKUP(C90,[1]products!$B$2:$E$27,4,0)</f>
        <v>137.97999999999999</v>
      </c>
      <c r="H90">
        <f t="shared" si="1"/>
        <v>551.91999999999996</v>
      </c>
    </row>
    <row r="91" spans="1:8" x14ac:dyDescent="0.3">
      <c r="A91">
        <v>90</v>
      </c>
      <c r="B91">
        <v>20</v>
      </c>
      <c r="C91">
        <v>113</v>
      </c>
      <c r="D91" s="6">
        <v>43076</v>
      </c>
      <c r="E91" t="str">
        <f>VLOOKUP(B91,[1]pivottables!$F$2:$G$52,2,0)</f>
        <v>FRA</v>
      </c>
      <c r="F91">
        <v>1</v>
      </c>
      <c r="G91">
        <f>VLOOKUP(C91,[1]products!$B$2:$E$27,4,0)</f>
        <v>9.89</v>
      </c>
      <c r="H91">
        <f t="shared" si="1"/>
        <v>9.89</v>
      </c>
    </row>
    <row r="92" spans="1:8" x14ac:dyDescent="0.3">
      <c r="A92">
        <v>91</v>
      </c>
      <c r="B92">
        <v>5</v>
      </c>
      <c r="C92">
        <v>118</v>
      </c>
      <c r="D92" s="6">
        <v>42948</v>
      </c>
      <c r="E92" t="str">
        <f>VLOOKUP(B92,[1]pivottables!$F$2:$G$52,2,0)</f>
        <v>USA</v>
      </c>
      <c r="F92">
        <v>3</v>
      </c>
      <c r="G92">
        <f>VLOOKUP(C92,[1]products!$B$2:$E$27,4,0)</f>
        <v>56.48</v>
      </c>
      <c r="H92">
        <f t="shared" si="1"/>
        <v>169.44</v>
      </c>
    </row>
    <row r="93" spans="1:8" x14ac:dyDescent="0.3">
      <c r="A93">
        <v>92</v>
      </c>
      <c r="B93">
        <v>49</v>
      </c>
      <c r="C93">
        <v>118</v>
      </c>
      <c r="D93" s="6">
        <v>42023</v>
      </c>
      <c r="E93" t="str">
        <f>VLOOKUP(B93,[1]pivottables!$F$2:$G$52,2,0)</f>
        <v>JPN</v>
      </c>
      <c r="F93">
        <v>5</v>
      </c>
      <c r="G93">
        <f>VLOOKUP(C93,[1]products!$B$2:$E$27,4,0)</f>
        <v>56.48</v>
      </c>
      <c r="H93">
        <f t="shared" si="1"/>
        <v>282.39999999999998</v>
      </c>
    </row>
    <row r="94" spans="1:8" x14ac:dyDescent="0.3">
      <c r="A94">
        <v>93</v>
      </c>
      <c r="B94">
        <v>43</v>
      </c>
      <c r="C94">
        <v>106</v>
      </c>
      <c r="D94" s="6">
        <v>42858</v>
      </c>
      <c r="E94" t="str">
        <f>VLOOKUP(B94,[1]pivottables!$F$2:$G$52,2,0)</f>
        <v>FRA</v>
      </c>
      <c r="F94">
        <v>1</v>
      </c>
      <c r="G94">
        <f>VLOOKUP(C94,[1]products!$B$2:$E$27,4,0)</f>
        <v>132.88</v>
      </c>
      <c r="H94">
        <f t="shared" si="1"/>
        <v>132.88</v>
      </c>
    </row>
    <row r="95" spans="1:8" x14ac:dyDescent="0.3">
      <c r="A95">
        <v>94</v>
      </c>
      <c r="B95">
        <v>25</v>
      </c>
      <c r="C95">
        <v>119</v>
      </c>
      <c r="D95" s="6">
        <v>42187</v>
      </c>
      <c r="E95" t="str">
        <f>VLOOKUP(B95,[1]pivottables!$F$2:$G$52,2,0)</f>
        <v>CHN</v>
      </c>
      <c r="F95">
        <v>1</v>
      </c>
      <c r="G95">
        <f>VLOOKUP(C95,[1]products!$B$2:$E$27,4,0)</f>
        <v>74.55</v>
      </c>
      <c r="H95">
        <f t="shared" si="1"/>
        <v>74.55</v>
      </c>
    </row>
    <row r="96" spans="1:8" x14ac:dyDescent="0.3">
      <c r="A96">
        <v>95</v>
      </c>
      <c r="B96">
        <v>42</v>
      </c>
      <c r="C96">
        <v>116</v>
      </c>
      <c r="D96" s="6">
        <v>42913</v>
      </c>
      <c r="E96" t="str">
        <f>VLOOKUP(B96,[1]pivottables!$F$2:$G$52,2,0)</f>
        <v>HUN</v>
      </c>
      <c r="F96">
        <v>4</v>
      </c>
      <c r="G96">
        <f>VLOOKUP(C96,[1]products!$B$2:$E$27,4,0)</f>
        <v>137.19999999999999</v>
      </c>
      <c r="H96">
        <f t="shared" si="1"/>
        <v>548.79999999999995</v>
      </c>
    </row>
    <row r="97" spans="1:8" x14ac:dyDescent="0.3">
      <c r="A97">
        <v>96</v>
      </c>
      <c r="B97">
        <v>45</v>
      </c>
      <c r="C97">
        <v>115</v>
      </c>
      <c r="D97" s="6">
        <v>42405</v>
      </c>
      <c r="E97" t="str">
        <f>VLOOKUP(B97,[1]pivottables!$F$2:$G$52,2,0)</f>
        <v>NLD</v>
      </c>
      <c r="F97">
        <v>2</v>
      </c>
      <c r="G97">
        <f>VLOOKUP(C97,[1]products!$B$2:$E$27,4,0)</f>
        <v>22.55</v>
      </c>
      <c r="H97">
        <f t="shared" si="1"/>
        <v>45.1</v>
      </c>
    </row>
    <row r="98" spans="1:8" x14ac:dyDescent="0.3">
      <c r="A98">
        <v>97</v>
      </c>
      <c r="B98">
        <v>15</v>
      </c>
      <c r="C98">
        <v>124</v>
      </c>
      <c r="D98" s="6">
        <v>42324</v>
      </c>
      <c r="E98" t="str">
        <f>VLOOKUP(B98,[1]pivottables!$F$2:$G$52,2,0)</f>
        <v>HUN</v>
      </c>
      <c r="F98">
        <v>4</v>
      </c>
      <c r="G98">
        <f>VLOOKUP(C98,[1]products!$B$2:$E$27,4,0)</f>
        <v>108.54</v>
      </c>
      <c r="H98">
        <f t="shared" si="1"/>
        <v>434.16</v>
      </c>
    </row>
    <row r="99" spans="1:8" x14ac:dyDescent="0.3">
      <c r="A99">
        <v>98</v>
      </c>
      <c r="B99">
        <v>20</v>
      </c>
      <c r="C99">
        <v>105</v>
      </c>
      <c r="D99" s="6">
        <v>42355</v>
      </c>
      <c r="E99" t="str">
        <f>VLOOKUP(B99,[1]pivottables!$F$2:$G$52,2,0)</f>
        <v>FRA</v>
      </c>
      <c r="F99">
        <v>3</v>
      </c>
      <c r="G99">
        <f>VLOOKUP(C99,[1]products!$B$2:$E$27,4,0)</f>
        <v>149.93</v>
      </c>
      <c r="H99">
        <f t="shared" si="1"/>
        <v>449.79</v>
      </c>
    </row>
    <row r="100" spans="1:8" x14ac:dyDescent="0.3">
      <c r="A100">
        <v>99</v>
      </c>
      <c r="B100">
        <v>13</v>
      </c>
      <c r="C100">
        <v>118</v>
      </c>
      <c r="D100" s="6">
        <v>42252</v>
      </c>
      <c r="E100" t="str">
        <f>VLOOKUP(B100,[1]pivottables!$F$2:$G$52,2,0)</f>
        <v>GBR</v>
      </c>
      <c r="F100">
        <v>2</v>
      </c>
      <c r="G100">
        <f>VLOOKUP(C100,[1]products!$B$2:$E$27,4,0)</f>
        <v>56.48</v>
      </c>
      <c r="H100">
        <f t="shared" si="1"/>
        <v>112.96</v>
      </c>
    </row>
    <row r="101" spans="1:8" x14ac:dyDescent="0.3">
      <c r="A101">
        <v>100</v>
      </c>
      <c r="B101">
        <v>47</v>
      </c>
      <c r="C101">
        <v>111</v>
      </c>
      <c r="D101" s="6">
        <v>42227</v>
      </c>
      <c r="E101" t="str">
        <f>VLOOKUP(B101,[1]pivottables!$F$2:$G$52,2,0)</f>
        <v>CHN</v>
      </c>
      <c r="F101">
        <v>1</v>
      </c>
      <c r="G101">
        <f>VLOOKUP(C101,[1]products!$B$2:$E$27,4,0)</f>
        <v>149.93</v>
      </c>
      <c r="H101">
        <f t="shared" si="1"/>
        <v>149.93</v>
      </c>
    </row>
    <row r="102" spans="1:8" x14ac:dyDescent="0.3">
      <c r="A102">
        <v>101</v>
      </c>
      <c r="B102">
        <v>4</v>
      </c>
      <c r="C102">
        <v>122</v>
      </c>
      <c r="D102" s="6">
        <v>43055</v>
      </c>
      <c r="E102" t="str">
        <f>VLOOKUP(B102,[1]pivottables!$F$2:$G$52,2,0)</f>
        <v>ITA</v>
      </c>
      <c r="F102">
        <v>1</v>
      </c>
      <c r="G102">
        <f>VLOOKUP(C102,[1]products!$B$2:$E$27,4,0)</f>
        <v>32.64</v>
      </c>
      <c r="H102">
        <f t="shared" si="1"/>
        <v>32.64</v>
      </c>
    </row>
    <row r="103" spans="1:8" x14ac:dyDescent="0.3">
      <c r="A103">
        <v>102</v>
      </c>
      <c r="B103">
        <v>7</v>
      </c>
      <c r="C103">
        <v>112</v>
      </c>
      <c r="D103" s="6">
        <v>42243</v>
      </c>
      <c r="E103" t="str">
        <f>VLOOKUP(B103,[1]pivottables!$F$2:$G$52,2,0)</f>
        <v>CAN</v>
      </c>
      <c r="F103">
        <v>4</v>
      </c>
      <c r="G103">
        <f>VLOOKUP(C103,[1]products!$B$2:$E$27,4,0)</f>
        <v>106.3</v>
      </c>
      <c r="H103">
        <f t="shared" si="1"/>
        <v>425.2</v>
      </c>
    </row>
    <row r="104" spans="1:8" x14ac:dyDescent="0.3">
      <c r="A104">
        <v>103</v>
      </c>
      <c r="B104">
        <v>17</v>
      </c>
      <c r="C104">
        <v>105</v>
      </c>
      <c r="D104" s="6">
        <v>42572</v>
      </c>
      <c r="E104" t="str">
        <f>VLOOKUP(B104,[1]pivottables!$F$2:$G$52,2,0)</f>
        <v>CAN</v>
      </c>
      <c r="F104">
        <v>2</v>
      </c>
      <c r="G104">
        <f>VLOOKUP(C104,[1]products!$B$2:$E$27,4,0)</f>
        <v>149.93</v>
      </c>
      <c r="H104">
        <f t="shared" si="1"/>
        <v>299.86</v>
      </c>
    </row>
    <row r="105" spans="1:8" x14ac:dyDescent="0.3">
      <c r="A105">
        <v>104</v>
      </c>
      <c r="B105">
        <v>31</v>
      </c>
      <c r="C105">
        <v>108</v>
      </c>
      <c r="D105" s="6">
        <v>42808</v>
      </c>
      <c r="E105" t="str">
        <f>VLOOKUP(B105,[1]pivottables!$F$2:$G$52,2,0)</f>
        <v>GBR</v>
      </c>
      <c r="F105">
        <v>5</v>
      </c>
      <c r="G105">
        <f>VLOOKUP(C105,[1]products!$B$2:$E$27,4,0)</f>
        <v>137.97999999999999</v>
      </c>
      <c r="H105">
        <f t="shared" si="1"/>
        <v>689.9</v>
      </c>
    </row>
    <row r="106" spans="1:8" x14ac:dyDescent="0.3">
      <c r="A106">
        <v>105</v>
      </c>
      <c r="B106">
        <v>49</v>
      </c>
      <c r="C106">
        <v>102</v>
      </c>
      <c r="D106" s="6">
        <v>42831</v>
      </c>
      <c r="E106" t="str">
        <f>VLOOKUP(B106,[1]pivottables!$F$2:$G$52,2,0)</f>
        <v>JPN</v>
      </c>
      <c r="F106">
        <v>2</v>
      </c>
      <c r="G106">
        <f>VLOOKUP(C106,[1]products!$B$2:$E$27,4,0)</f>
        <v>14.94</v>
      </c>
      <c r="H106">
        <f t="shared" si="1"/>
        <v>29.88</v>
      </c>
    </row>
    <row r="107" spans="1:8" x14ac:dyDescent="0.3">
      <c r="A107">
        <v>106</v>
      </c>
      <c r="B107">
        <v>28</v>
      </c>
      <c r="C107">
        <v>105</v>
      </c>
      <c r="D107" s="6">
        <v>42124</v>
      </c>
      <c r="E107" t="str">
        <f>VLOOKUP(B107,[1]pivottables!$F$2:$G$52,2,0)</f>
        <v>FRA</v>
      </c>
      <c r="F107">
        <v>3</v>
      </c>
      <c r="G107">
        <f>VLOOKUP(C107,[1]products!$B$2:$E$27,4,0)</f>
        <v>149.93</v>
      </c>
      <c r="H107">
        <f t="shared" si="1"/>
        <v>449.79</v>
      </c>
    </row>
    <row r="108" spans="1:8" x14ac:dyDescent="0.3">
      <c r="A108">
        <v>107</v>
      </c>
      <c r="B108">
        <v>17</v>
      </c>
      <c r="C108">
        <v>118</v>
      </c>
      <c r="D108" s="6">
        <v>42095</v>
      </c>
      <c r="E108" t="str">
        <f>VLOOKUP(B108,[1]pivottables!$F$2:$G$52,2,0)</f>
        <v>CAN</v>
      </c>
      <c r="F108">
        <v>2</v>
      </c>
      <c r="G108">
        <f>VLOOKUP(C108,[1]products!$B$2:$E$27,4,0)</f>
        <v>56.48</v>
      </c>
      <c r="H108">
        <f t="shared" si="1"/>
        <v>112.96</v>
      </c>
    </row>
    <row r="109" spans="1:8" x14ac:dyDescent="0.3">
      <c r="A109">
        <v>108</v>
      </c>
      <c r="B109">
        <v>15</v>
      </c>
      <c r="C109">
        <v>108</v>
      </c>
      <c r="D109" s="6">
        <v>42287</v>
      </c>
      <c r="E109" t="str">
        <f>VLOOKUP(B109,[1]pivottables!$F$2:$G$52,2,0)</f>
        <v>HUN</v>
      </c>
      <c r="F109">
        <v>5</v>
      </c>
      <c r="G109">
        <f>VLOOKUP(C109,[1]products!$B$2:$E$27,4,0)</f>
        <v>137.97999999999999</v>
      </c>
      <c r="H109">
        <f t="shared" si="1"/>
        <v>689.9</v>
      </c>
    </row>
    <row r="110" spans="1:8" x14ac:dyDescent="0.3">
      <c r="A110">
        <v>109</v>
      </c>
      <c r="B110">
        <v>37</v>
      </c>
      <c r="C110">
        <v>110</v>
      </c>
      <c r="D110" s="6">
        <v>42560</v>
      </c>
      <c r="E110" t="str">
        <f>VLOOKUP(B110,[1]pivottables!$F$2:$G$52,2,0)</f>
        <v>GBR</v>
      </c>
      <c r="F110">
        <v>1</v>
      </c>
      <c r="G110">
        <f>VLOOKUP(C110,[1]products!$B$2:$E$27,4,0)</f>
        <v>10.76</v>
      </c>
      <c r="H110">
        <f t="shared" si="1"/>
        <v>10.76</v>
      </c>
    </row>
    <row r="111" spans="1:8" x14ac:dyDescent="0.3">
      <c r="A111">
        <v>110</v>
      </c>
      <c r="B111">
        <v>14</v>
      </c>
      <c r="C111">
        <v>125</v>
      </c>
      <c r="D111" s="6">
        <v>42721</v>
      </c>
      <c r="E111" t="str">
        <f>VLOOKUP(B111,[1]pivottables!$F$2:$G$52,2,0)</f>
        <v>CZE</v>
      </c>
      <c r="F111">
        <v>2</v>
      </c>
      <c r="G111">
        <f>VLOOKUP(C111,[1]products!$B$2:$E$27,4,0)</f>
        <v>90.44</v>
      </c>
      <c r="H111">
        <f t="shared" si="1"/>
        <v>180.88</v>
      </c>
    </row>
    <row r="112" spans="1:8" x14ac:dyDescent="0.3">
      <c r="A112">
        <v>111</v>
      </c>
      <c r="B112">
        <v>7</v>
      </c>
      <c r="C112">
        <v>104</v>
      </c>
      <c r="D112" s="6">
        <v>43085</v>
      </c>
      <c r="E112" t="str">
        <f>VLOOKUP(B112,[1]pivottables!$F$2:$G$52,2,0)</f>
        <v>CAN</v>
      </c>
      <c r="F112">
        <v>2</v>
      </c>
      <c r="G112">
        <f>VLOOKUP(C112,[1]products!$B$2:$E$27,4,0)</f>
        <v>122.18</v>
      </c>
      <c r="H112">
        <f t="shared" si="1"/>
        <v>244.36</v>
      </c>
    </row>
    <row r="113" spans="1:8" x14ac:dyDescent="0.3">
      <c r="A113">
        <v>112</v>
      </c>
      <c r="B113">
        <v>11</v>
      </c>
      <c r="C113">
        <v>114</v>
      </c>
      <c r="D113" s="6">
        <v>42447</v>
      </c>
      <c r="E113" t="str">
        <f>VLOOKUP(B113,[1]pivottables!$F$2:$G$52,2,0)</f>
        <v>ITA</v>
      </c>
      <c r="F113">
        <v>4</v>
      </c>
      <c r="G113">
        <f>VLOOKUP(C113,[1]products!$B$2:$E$27,4,0)</f>
        <v>74.38</v>
      </c>
      <c r="H113">
        <f t="shared" si="1"/>
        <v>297.52</v>
      </c>
    </row>
    <row r="114" spans="1:8" x14ac:dyDescent="0.3">
      <c r="A114">
        <v>113</v>
      </c>
      <c r="B114">
        <v>6</v>
      </c>
      <c r="C114">
        <v>105</v>
      </c>
      <c r="D114" s="6">
        <v>43020</v>
      </c>
      <c r="E114" t="str">
        <f>VLOOKUP(B114,[1]pivottables!$F$2:$G$52,2,0)</f>
        <v>CAN</v>
      </c>
      <c r="F114">
        <v>4</v>
      </c>
      <c r="G114">
        <f>VLOOKUP(C114,[1]products!$B$2:$E$27,4,0)</f>
        <v>149.93</v>
      </c>
      <c r="H114">
        <f t="shared" si="1"/>
        <v>599.72</v>
      </c>
    </row>
    <row r="115" spans="1:8" x14ac:dyDescent="0.3">
      <c r="A115">
        <v>114</v>
      </c>
      <c r="B115">
        <v>10</v>
      </c>
      <c r="C115">
        <v>108</v>
      </c>
      <c r="D115" s="6">
        <v>42711</v>
      </c>
      <c r="E115" t="str">
        <f>VLOOKUP(B115,[1]pivottables!$F$2:$G$52,2,0)</f>
        <v>NLD</v>
      </c>
      <c r="F115">
        <v>5</v>
      </c>
      <c r="G115">
        <f>VLOOKUP(C115,[1]products!$B$2:$E$27,4,0)</f>
        <v>137.97999999999999</v>
      </c>
      <c r="H115">
        <f t="shared" si="1"/>
        <v>689.9</v>
      </c>
    </row>
    <row r="116" spans="1:8" x14ac:dyDescent="0.3">
      <c r="A116">
        <v>115</v>
      </c>
      <c r="B116">
        <v>14</v>
      </c>
      <c r="C116">
        <v>122</v>
      </c>
      <c r="D116" s="6">
        <v>42969</v>
      </c>
      <c r="E116" t="str">
        <f>VLOOKUP(B116,[1]pivottables!$F$2:$G$52,2,0)</f>
        <v>CZE</v>
      </c>
      <c r="F116">
        <v>3</v>
      </c>
      <c r="G116">
        <f>VLOOKUP(C116,[1]products!$B$2:$E$27,4,0)</f>
        <v>32.64</v>
      </c>
      <c r="H116">
        <f t="shared" si="1"/>
        <v>97.92</v>
      </c>
    </row>
    <row r="117" spans="1:8" x14ac:dyDescent="0.3">
      <c r="A117">
        <v>116</v>
      </c>
      <c r="B117">
        <v>22</v>
      </c>
      <c r="C117">
        <v>103</v>
      </c>
      <c r="D117" s="6">
        <v>42305</v>
      </c>
      <c r="E117" t="str">
        <f>VLOOKUP(B117,[1]pivottables!$F$2:$G$52,2,0)</f>
        <v>FRA</v>
      </c>
      <c r="F117">
        <v>4</v>
      </c>
      <c r="G117">
        <f>VLOOKUP(C117,[1]products!$B$2:$E$27,4,0)</f>
        <v>108.96</v>
      </c>
      <c r="H117">
        <f t="shared" si="1"/>
        <v>435.84</v>
      </c>
    </row>
    <row r="118" spans="1:8" x14ac:dyDescent="0.3">
      <c r="A118">
        <v>117</v>
      </c>
      <c r="B118">
        <v>35</v>
      </c>
      <c r="C118">
        <v>106</v>
      </c>
      <c r="D118" s="6">
        <v>42337</v>
      </c>
      <c r="E118" t="str">
        <f>VLOOKUP(B118,[1]pivottables!$F$2:$G$52,2,0)</f>
        <v>JPN</v>
      </c>
      <c r="F118">
        <v>3</v>
      </c>
      <c r="G118">
        <f>VLOOKUP(C118,[1]products!$B$2:$E$27,4,0)</f>
        <v>132.88</v>
      </c>
      <c r="H118">
        <f t="shared" si="1"/>
        <v>398.64</v>
      </c>
    </row>
    <row r="119" spans="1:8" x14ac:dyDescent="0.3">
      <c r="A119">
        <v>118</v>
      </c>
      <c r="B119">
        <v>6</v>
      </c>
      <c r="C119">
        <v>119</v>
      </c>
      <c r="D119" s="6">
        <v>42164</v>
      </c>
      <c r="E119" t="str">
        <f>VLOOKUP(B119,[1]pivottables!$F$2:$G$52,2,0)</f>
        <v>CAN</v>
      </c>
      <c r="F119">
        <v>5</v>
      </c>
      <c r="G119">
        <f>VLOOKUP(C119,[1]products!$B$2:$E$27,4,0)</f>
        <v>74.55</v>
      </c>
      <c r="H119">
        <f t="shared" si="1"/>
        <v>372.75</v>
      </c>
    </row>
    <row r="120" spans="1:8" x14ac:dyDescent="0.3">
      <c r="A120">
        <v>119</v>
      </c>
      <c r="B120">
        <v>43</v>
      </c>
      <c r="C120">
        <v>108</v>
      </c>
      <c r="D120" s="6">
        <v>42961</v>
      </c>
      <c r="E120" t="str">
        <f>VLOOKUP(B120,[1]pivottables!$F$2:$G$52,2,0)</f>
        <v>FRA</v>
      </c>
      <c r="F120">
        <v>4</v>
      </c>
      <c r="G120">
        <f>VLOOKUP(C120,[1]products!$B$2:$E$27,4,0)</f>
        <v>137.97999999999999</v>
      </c>
      <c r="H120">
        <f t="shared" si="1"/>
        <v>551.91999999999996</v>
      </c>
    </row>
    <row r="121" spans="1:8" x14ac:dyDescent="0.3">
      <c r="A121">
        <v>120</v>
      </c>
      <c r="B121">
        <v>11</v>
      </c>
      <c r="C121">
        <v>120</v>
      </c>
      <c r="D121" s="6">
        <v>43034</v>
      </c>
      <c r="E121" t="str">
        <f>VLOOKUP(B121,[1]pivottables!$F$2:$G$52,2,0)</f>
        <v>ITA</v>
      </c>
      <c r="F121">
        <v>4</v>
      </c>
      <c r="G121">
        <f>VLOOKUP(C121,[1]products!$B$2:$E$27,4,0)</f>
        <v>17.13</v>
      </c>
      <c r="H121">
        <f t="shared" si="1"/>
        <v>68.52</v>
      </c>
    </row>
    <row r="122" spans="1:8" x14ac:dyDescent="0.3">
      <c r="A122">
        <v>121</v>
      </c>
      <c r="B122">
        <v>12</v>
      </c>
      <c r="C122">
        <v>117</v>
      </c>
      <c r="D122" s="6">
        <v>42789</v>
      </c>
      <c r="E122" t="str">
        <f>VLOOKUP(B122,[1]pivottables!$F$2:$G$52,2,0)</f>
        <v>FRA</v>
      </c>
      <c r="F122">
        <v>2</v>
      </c>
      <c r="G122">
        <f>VLOOKUP(C122,[1]products!$B$2:$E$27,4,0)</f>
        <v>47.38</v>
      </c>
      <c r="H122">
        <f t="shared" si="1"/>
        <v>94.76</v>
      </c>
    </row>
    <row r="123" spans="1:8" x14ac:dyDescent="0.3">
      <c r="A123">
        <v>122</v>
      </c>
      <c r="B123">
        <v>18</v>
      </c>
      <c r="C123">
        <v>105</v>
      </c>
      <c r="D123" s="6">
        <v>42531</v>
      </c>
      <c r="E123" t="str">
        <f>VLOOKUP(B123,[1]pivottables!$F$2:$G$52,2,0)</f>
        <v>JPN</v>
      </c>
      <c r="F123">
        <v>4</v>
      </c>
      <c r="G123">
        <f>VLOOKUP(C123,[1]products!$B$2:$E$27,4,0)</f>
        <v>149.93</v>
      </c>
      <c r="H123">
        <f t="shared" si="1"/>
        <v>599.72</v>
      </c>
    </row>
    <row r="124" spans="1:8" x14ac:dyDescent="0.3">
      <c r="A124">
        <v>123</v>
      </c>
      <c r="B124">
        <v>26</v>
      </c>
      <c r="C124">
        <v>104</v>
      </c>
      <c r="D124" s="6">
        <v>42112</v>
      </c>
      <c r="E124" t="str">
        <f>VLOOKUP(B124,[1]pivottables!$F$2:$G$52,2,0)</f>
        <v>NLD</v>
      </c>
      <c r="F124">
        <v>2</v>
      </c>
      <c r="G124">
        <f>VLOOKUP(C124,[1]products!$B$2:$E$27,4,0)</f>
        <v>122.18</v>
      </c>
      <c r="H124">
        <f t="shared" si="1"/>
        <v>244.36</v>
      </c>
    </row>
    <row r="125" spans="1:8" x14ac:dyDescent="0.3">
      <c r="A125">
        <v>124</v>
      </c>
      <c r="B125">
        <v>12</v>
      </c>
      <c r="C125">
        <v>125</v>
      </c>
      <c r="D125" s="6">
        <v>42287</v>
      </c>
      <c r="E125" t="str">
        <f>VLOOKUP(B125,[1]pivottables!$F$2:$G$52,2,0)</f>
        <v>FRA</v>
      </c>
      <c r="F125">
        <v>3</v>
      </c>
      <c r="G125">
        <f>VLOOKUP(C125,[1]products!$B$2:$E$27,4,0)</f>
        <v>90.44</v>
      </c>
      <c r="H125">
        <f t="shared" si="1"/>
        <v>271.32</v>
      </c>
    </row>
    <row r="126" spans="1:8" x14ac:dyDescent="0.3">
      <c r="A126">
        <v>125</v>
      </c>
      <c r="B126">
        <v>50</v>
      </c>
      <c r="C126">
        <v>125</v>
      </c>
      <c r="D126" s="6">
        <v>42824</v>
      </c>
      <c r="E126" t="str">
        <f>VLOOKUP(B126,[1]pivottables!$F$2:$G$52,2,0)</f>
        <v>NLD</v>
      </c>
      <c r="F126">
        <v>2</v>
      </c>
      <c r="G126">
        <f>VLOOKUP(C126,[1]products!$B$2:$E$27,4,0)</f>
        <v>90.44</v>
      </c>
      <c r="H126">
        <f t="shared" si="1"/>
        <v>180.88</v>
      </c>
    </row>
    <row r="127" spans="1:8" x14ac:dyDescent="0.3">
      <c r="A127">
        <v>126</v>
      </c>
      <c r="B127">
        <v>13</v>
      </c>
      <c r="C127">
        <v>109</v>
      </c>
      <c r="D127" s="6">
        <v>42919</v>
      </c>
      <c r="E127" t="str">
        <f>VLOOKUP(B127,[1]pivottables!$F$2:$G$52,2,0)</f>
        <v>GBR</v>
      </c>
      <c r="F127">
        <v>2</v>
      </c>
      <c r="G127">
        <f>VLOOKUP(C127,[1]products!$B$2:$E$27,4,0)</f>
        <v>143.97999999999999</v>
      </c>
      <c r="H127">
        <f t="shared" si="1"/>
        <v>287.95999999999998</v>
      </c>
    </row>
    <row r="128" spans="1:8" x14ac:dyDescent="0.3">
      <c r="A128">
        <v>127</v>
      </c>
      <c r="B128">
        <v>19</v>
      </c>
      <c r="C128">
        <v>106</v>
      </c>
      <c r="D128" s="6">
        <v>42889</v>
      </c>
      <c r="E128" t="str">
        <f>VLOOKUP(B128,[1]pivottables!$F$2:$G$52,2,0)</f>
        <v>NLD</v>
      </c>
      <c r="F128">
        <v>2</v>
      </c>
      <c r="G128">
        <f>VLOOKUP(C128,[1]products!$B$2:$E$27,4,0)</f>
        <v>132.88</v>
      </c>
      <c r="H128">
        <f t="shared" si="1"/>
        <v>265.76</v>
      </c>
    </row>
    <row r="129" spans="1:8" x14ac:dyDescent="0.3">
      <c r="A129">
        <v>128</v>
      </c>
      <c r="B129">
        <v>30</v>
      </c>
      <c r="C129">
        <v>108</v>
      </c>
      <c r="D129" s="6">
        <v>42206</v>
      </c>
      <c r="E129" t="str">
        <f>VLOOKUP(B129,[1]pivottables!$F$2:$G$52,2,0)</f>
        <v>FRA</v>
      </c>
      <c r="F129">
        <v>4</v>
      </c>
      <c r="G129">
        <f>VLOOKUP(C129,[1]products!$B$2:$E$27,4,0)</f>
        <v>137.97999999999999</v>
      </c>
      <c r="H129">
        <f t="shared" si="1"/>
        <v>551.91999999999996</v>
      </c>
    </row>
    <row r="130" spans="1:8" x14ac:dyDescent="0.3">
      <c r="A130">
        <v>129</v>
      </c>
      <c r="B130">
        <v>41</v>
      </c>
      <c r="C130">
        <v>114</v>
      </c>
      <c r="D130" s="6">
        <v>42540</v>
      </c>
      <c r="E130" t="str">
        <f>VLOOKUP(B130,[1]pivottables!$F$2:$G$52,2,0)</f>
        <v>FRA</v>
      </c>
      <c r="F130">
        <v>2</v>
      </c>
      <c r="G130">
        <f>VLOOKUP(C130,[1]products!$B$2:$E$27,4,0)</f>
        <v>74.38</v>
      </c>
      <c r="H130">
        <f t="shared" si="1"/>
        <v>148.76</v>
      </c>
    </row>
    <row r="131" spans="1:8" x14ac:dyDescent="0.3">
      <c r="A131">
        <v>130</v>
      </c>
      <c r="B131">
        <v>42</v>
      </c>
      <c r="C131">
        <v>101</v>
      </c>
      <c r="D131" s="6">
        <v>42781</v>
      </c>
      <c r="E131" t="str">
        <f>VLOOKUP(B131,[1]pivottables!$F$2:$G$52,2,0)</f>
        <v>HUN</v>
      </c>
      <c r="F131">
        <v>3</v>
      </c>
      <c r="G131">
        <f>VLOOKUP(C131,[1]products!$B$2:$E$27,4,0)</f>
        <v>108.61</v>
      </c>
      <c r="H131">
        <f t="shared" ref="H131:H194" si="2">G131*F131</f>
        <v>325.83</v>
      </c>
    </row>
    <row r="132" spans="1:8" x14ac:dyDescent="0.3">
      <c r="A132">
        <v>131</v>
      </c>
      <c r="B132">
        <v>3</v>
      </c>
      <c r="C132">
        <v>124</v>
      </c>
      <c r="D132" s="6">
        <v>42221</v>
      </c>
      <c r="E132" t="str">
        <f>VLOOKUP(B132,[1]pivottables!$F$2:$G$52,2,0)</f>
        <v>NLD</v>
      </c>
      <c r="F132">
        <v>3</v>
      </c>
      <c r="G132">
        <f>VLOOKUP(C132,[1]products!$B$2:$E$27,4,0)</f>
        <v>108.54</v>
      </c>
      <c r="H132">
        <f t="shared" si="2"/>
        <v>325.62</v>
      </c>
    </row>
    <row r="133" spans="1:8" x14ac:dyDescent="0.3">
      <c r="A133">
        <v>132</v>
      </c>
      <c r="B133">
        <v>26</v>
      </c>
      <c r="C133">
        <v>118</v>
      </c>
      <c r="D133" s="6">
        <v>42239</v>
      </c>
      <c r="E133" t="str">
        <f>VLOOKUP(B133,[1]pivottables!$F$2:$G$52,2,0)</f>
        <v>NLD</v>
      </c>
      <c r="F133">
        <v>4</v>
      </c>
      <c r="G133">
        <f>VLOOKUP(C133,[1]products!$B$2:$E$27,4,0)</f>
        <v>56.48</v>
      </c>
      <c r="H133">
        <f t="shared" si="2"/>
        <v>225.92</v>
      </c>
    </row>
    <row r="134" spans="1:8" x14ac:dyDescent="0.3">
      <c r="A134">
        <v>133</v>
      </c>
      <c r="B134">
        <v>32</v>
      </c>
      <c r="C134">
        <v>116</v>
      </c>
      <c r="D134" s="6">
        <v>42586</v>
      </c>
      <c r="E134" t="str">
        <f>VLOOKUP(B134,[1]pivottables!$F$2:$G$52,2,0)</f>
        <v>NLD</v>
      </c>
      <c r="F134">
        <v>1</v>
      </c>
      <c r="G134">
        <f>VLOOKUP(C134,[1]products!$B$2:$E$27,4,0)</f>
        <v>137.19999999999999</v>
      </c>
      <c r="H134">
        <f t="shared" si="2"/>
        <v>137.19999999999999</v>
      </c>
    </row>
    <row r="135" spans="1:8" x14ac:dyDescent="0.3">
      <c r="A135">
        <v>134</v>
      </c>
      <c r="B135">
        <v>31</v>
      </c>
      <c r="C135">
        <v>121</v>
      </c>
      <c r="D135" s="6">
        <v>42835</v>
      </c>
      <c r="E135" t="str">
        <f>VLOOKUP(B135,[1]pivottables!$F$2:$G$52,2,0)</f>
        <v>GBR</v>
      </c>
      <c r="F135">
        <v>1</v>
      </c>
      <c r="G135">
        <f>VLOOKUP(C135,[1]products!$B$2:$E$27,4,0)</f>
        <v>49.09</v>
      </c>
      <c r="H135">
        <f t="shared" si="2"/>
        <v>49.09</v>
      </c>
    </row>
    <row r="136" spans="1:8" x14ac:dyDescent="0.3">
      <c r="A136">
        <v>135</v>
      </c>
      <c r="B136">
        <v>39</v>
      </c>
      <c r="C136">
        <v>109</v>
      </c>
      <c r="D136" s="6">
        <v>42981</v>
      </c>
      <c r="E136" t="str">
        <f>VLOOKUP(B136,[1]pivottables!$F$2:$G$52,2,0)</f>
        <v>GBR</v>
      </c>
      <c r="F136">
        <v>2</v>
      </c>
      <c r="G136">
        <f>VLOOKUP(C136,[1]products!$B$2:$E$27,4,0)</f>
        <v>143.97999999999999</v>
      </c>
      <c r="H136">
        <f t="shared" si="2"/>
        <v>287.95999999999998</v>
      </c>
    </row>
    <row r="137" spans="1:8" x14ac:dyDescent="0.3">
      <c r="A137">
        <v>136</v>
      </c>
      <c r="B137">
        <v>19</v>
      </c>
      <c r="C137">
        <v>115</v>
      </c>
      <c r="D137" s="6">
        <v>42150</v>
      </c>
      <c r="E137" t="str">
        <f>VLOOKUP(B137,[1]pivottables!$F$2:$G$52,2,0)</f>
        <v>NLD</v>
      </c>
      <c r="F137">
        <v>4</v>
      </c>
      <c r="G137">
        <f>VLOOKUP(C137,[1]products!$B$2:$E$27,4,0)</f>
        <v>22.55</v>
      </c>
      <c r="H137">
        <f t="shared" si="2"/>
        <v>90.2</v>
      </c>
    </row>
    <row r="138" spans="1:8" x14ac:dyDescent="0.3">
      <c r="A138">
        <v>137</v>
      </c>
      <c r="B138">
        <v>1</v>
      </c>
      <c r="C138">
        <v>113</v>
      </c>
      <c r="D138" s="6">
        <v>42545</v>
      </c>
      <c r="E138" t="str">
        <f>VLOOKUP(B138,[1]pivottables!$F$2:$G$52,2,0)</f>
        <v>FRA</v>
      </c>
      <c r="F138">
        <v>5</v>
      </c>
      <c r="G138">
        <f>VLOOKUP(C138,[1]products!$B$2:$E$27,4,0)</f>
        <v>9.89</v>
      </c>
      <c r="H138">
        <f t="shared" si="2"/>
        <v>49.45</v>
      </c>
    </row>
    <row r="139" spans="1:8" x14ac:dyDescent="0.3">
      <c r="A139">
        <v>138</v>
      </c>
      <c r="B139">
        <v>48</v>
      </c>
      <c r="C139">
        <v>122</v>
      </c>
      <c r="D139" s="6">
        <v>42934</v>
      </c>
      <c r="E139" t="str">
        <f>VLOOKUP(B139,[1]pivottables!$F$2:$G$52,2,0)</f>
        <v>GBR</v>
      </c>
      <c r="F139">
        <v>3</v>
      </c>
      <c r="G139">
        <f>VLOOKUP(C139,[1]products!$B$2:$E$27,4,0)</f>
        <v>32.64</v>
      </c>
      <c r="H139">
        <f t="shared" si="2"/>
        <v>97.92</v>
      </c>
    </row>
    <row r="140" spans="1:8" x14ac:dyDescent="0.3">
      <c r="A140">
        <v>139</v>
      </c>
      <c r="B140">
        <v>49</v>
      </c>
      <c r="C140">
        <v>110</v>
      </c>
      <c r="D140" s="6">
        <v>43039</v>
      </c>
      <c r="E140" t="str">
        <f>VLOOKUP(B140,[1]pivottables!$F$2:$G$52,2,0)</f>
        <v>JPN</v>
      </c>
      <c r="F140">
        <v>5</v>
      </c>
      <c r="G140">
        <f>VLOOKUP(C140,[1]products!$B$2:$E$27,4,0)</f>
        <v>10.76</v>
      </c>
      <c r="H140">
        <f t="shared" si="2"/>
        <v>53.8</v>
      </c>
    </row>
    <row r="141" spans="1:8" x14ac:dyDescent="0.3">
      <c r="A141">
        <v>140</v>
      </c>
      <c r="B141">
        <v>20</v>
      </c>
      <c r="C141">
        <v>102</v>
      </c>
      <c r="D141" s="6">
        <v>42452</v>
      </c>
      <c r="E141" t="str">
        <f>VLOOKUP(B141,[1]pivottables!$F$2:$G$52,2,0)</f>
        <v>FRA</v>
      </c>
      <c r="F141">
        <v>4</v>
      </c>
      <c r="G141">
        <f>VLOOKUP(C141,[1]products!$B$2:$E$27,4,0)</f>
        <v>14.94</v>
      </c>
      <c r="H141">
        <f t="shared" si="2"/>
        <v>59.76</v>
      </c>
    </row>
    <row r="142" spans="1:8" x14ac:dyDescent="0.3">
      <c r="A142">
        <v>141</v>
      </c>
      <c r="B142">
        <v>36</v>
      </c>
      <c r="C142">
        <v>103</v>
      </c>
      <c r="D142" s="6">
        <v>42478</v>
      </c>
      <c r="E142" t="str">
        <f>VLOOKUP(B142,[1]pivottables!$F$2:$G$52,2,0)</f>
        <v>FRA</v>
      </c>
      <c r="F142">
        <v>4</v>
      </c>
      <c r="G142">
        <f>VLOOKUP(C142,[1]products!$B$2:$E$27,4,0)</f>
        <v>108.96</v>
      </c>
      <c r="H142">
        <f t="shared" si="2"/>
        <v>435.84</v>
      </c>
    </row>
    <row r="143" spans="1:8" x14ac:dyDescent="0.3">
      <c r="A143">
        <v>142</v>
      </c>
      <c r="B143">
        <v>9</v>
      </c>
      <c r="C143">
        <v>101</v>
      </c>
      <c r="D143" s="6">
        <v>42882</v>
      </c>
      <c r="E143" t="str">
        <f>VLOOKUP(B143,[1]pivottables!$F$2:$G$52,2,0)</f>
        <v>HUN</v>
      </c>
      <c r="F143">
        <v>2</v>
      </c>
      <c r="G143">
        <f>VLOOKUP(C143,[1]products!$B$2:$E$27,4,0)</f>
        <v>108.61</v>
      </c>
      <c r="H143">
        <f t="shared" si="2"/>
        <v>217.22</v>
      </c>
    </row>
    <row r="144" spans="1:8" x14ac:dyDescent="0.3">
      <c r="A144">
        <v>143</v>
      </c>
      <c r="B144">
        <v>47</v>
      </c>
      <c r="C144">
        <v>121</v>
      </c>
      <c r="D144" s="6">
        <v>42008</v>
      </c>
      <c r="E144" t="str">
        <f>VLOOKUP(B144,[1]pivottables!$F$2:$G$52,2,0)</f>
        <v>CHN</v>
      </c>
      <c r="F144">
        <v>1</v>
      </c>
      <c r="G144">
        <f>VLOOKUP(C144,[1]products!$B$2:$E$27,4,0)</f>
        <v>49.09</v>
      </c>
      <c r="H144">
        <f t="shared" si="2"/>
        <v>49.09</v>
      </c>
    </row>
    <row r="145" spans="1:8" x14ac:dyDescent="0.3">
      <c r="A145">
        <v>144</v>
      </c>
      <c r="B145">
        <v>6</v>
      </c>
      <c r="C145">
        <v>115</v>
      </c>
      <c r="D145" s="6">
        <v>42864</v>
      </c>
      <c r="E145" t="str">
        <f>VLOOKUP(B145,[1]pivottables!$F$2:$G$52,2,0)</f>
        <v>CAN</v>
      </c>
      <c r="F145">
        <v>3</v>
      </c>
      <c r="G145">
        <f>VLOOKUP(C145,[1]products!$B$2:$E$27,4,0)</f>
        <v>22.55</v>
      </c>
      <c r="H145">
        <f t="shared" si="2"/>
        <v>67.650000000000006</v>
      </c>
    </row>
    <row r="146" spans="1:8" x14ac:dyDescent="0.3">
      <c r="A146">
        <v>145</v>
      </c>
      <c r="B146">
        <v>21</v>
      </c>
      <c r="C146">
        <v>104</v>
      </c>
      <c r="D146" s="6">
        <v>43033</v>
      </c>
      <c r="E146" t="str">
        <f>VLOOKUP(B146,[1]pivottables!$F$2:$G$52,2,0)</f>
        <v>HUN</v>
      </c>
      <c r="F146">
        <v>1</v>
      </c>
      <c r="G146">
        <f>VLOOKUP(C146,[1]products!$B$2:$E$27,4,0)</f>
        <v>122.18</v>
      </c>
      <c r="H146">
        <f t="shared" si="2"/>
        <v>122.18</v>
      </c>
    </row>
    <row r="147" spans="1:8" x14ac:dyDescent="0.3">
      <c r="A147">
        <v>146</v>
      </c>
      <c r="B147">
        <v>14</v>
      </c>
      <c r="C147">
        <v>123</v>
      </c>
      <c r="D147" s="6">
        <v>42326</v>
      </c>
      <c r="E147" t="str">
        <f>VLOOKUP(B147,[1]pivottables!$F$2:$G$52,2,0)</f>
        <v>CZE</v>
      </c>
      <c r="F147">
        <v>2</v>
      </c>
      <c r="G147">
        <f>VLOOKUP(C147,[1]products!$B$2:$E$27,4,0)</f>
        <v>39.67</v>
      </c>
      <c r="H147">
        <f t="shared" si="2"/>
        <v>79.34</v>
      </c>
    </row>
    <row r="148" spans="1:8" x14ac:dyDescent="0.3">
      <c r="A148">
        <v>147</v>
      </c>
      <c r="B148">
        <v>28</v>
      </c>
      <c r="C148">
        <v>107</v>
      </c>
      <c r="D148" s="6">
        <v>42592</v>
      </c>
      <c r="E148" t="str">
        <f>VLOOKUP(B148,[1]pivottables!$F$2:$G$52,2,0)</f>
        <v>FRA</v>
      </c>
      <c r="F148">
        <v>4</v>
      </c>
      <c r="G148">
        <f>VLOOKUP(C148,[1]products!$B$2:$E$27,4,0)</f>
        <v>43.1</v>
      </c>
      <c r="H148">
        <f t="shared" si="2"/>
        <v>172.4</v>
      </c>
    </row>
    <row r="149" spans="1:8" x14ac:dyDescent="0.3">
      <c r="A149">
        <v>148</v>
      </c>
      <c r="B149">
        <v>2</v>
      </c>
      <c r="C149">
        <v>102</v>
      </c>
      <c r="D149" s="6">
        <v>43044</v>
      </c>
      <c r="E149" t="str">
        <f>VLOOKUP(B149,[1]pivottables!$F$2:$G$52,2,0)</f>
        <v>CZE</v>
      </c>
      <c r="F149">
        <v>1</v>
      </c>
      <c r="G149">
        <f>VLOOKUP(C149,[1]products!$B$2:$E$27,4,0)</f>
        <v>14.94</v>
      </c>
      <c r="H149">
        <f t="shared" si="2"/>
        <v>14.94</v>
      </c>
    </row>
    <row r="150" spans="1:8" x14ac:dyDescent="0.3">
      <c r="A150">
        <v>149</v>
      </c>
      <c r="B150">
        <v>29</v>
      </c>
      <c r="C150">
        <v>119</v>
      </c>
      <c r="D150" s="6">
        <v>42986</v>
      </c>
      <c r="E150" t="str">
        <f>VLOOKUP(B150,[1]pivottables!$F$2:$G$52,2,0)</f>
        <v>FRA</v>
      </c>
      <c r="F150">
        <v>1</v>
      </c>
      <c r="G150">
        <f>VLOOKUP(C150,[1]products!$B$2:$E$27,4,0)</f>
        <v>74.55</v>
      </c>
      <c r="H150">
        <f t="shared" si="2"/>
        <v>74.55</v>
      </c>
    </row>
    <row r="151" spans="1:8" x14ac:dyDescent="0.3">
      <c r="A151">
        <v>150</v>
      </c>
      <c r="B151">
        <v>21</v>
      </c>
      <c r="C151">
        <v>112</v>
      </c>
      <c r="D151" s="6">
        <v>42567</v>
      </c>
      <c r="E151" t="str">
        <f>VLOOKUP(B151,[1]pivottables!$F$2:$G$52,2,0)</f>
        <v>HUN</v>
      </c>
      <c r="F151">
        <v>5</v>
      </c>
      <c r="G151">
        <f>VLOOKUP(C151,[1]products!$B$2:$E$27,4,0)</f>
        <v>106.3</v>
      </c>
      <c r="H151">
        <f t="shared" si="2"/>
        <v>531.5</v>
      </c>
    </row>
    <row r="152" spans="1:8" x14ac:dyDescent="0.3">
      <c r="A152">
        <v>151</v>
      </c>
      <c r="B152">
        <v>10</v>
      </c>
      <c r="C152">
        <v>102</v>
      </c>
      <c r="D152" s="6">
        <v>42880</v>
      </c>
      <c r="E152" t="str">
        <f>VLOOKUP(B152,[1]pivottables!$F$2:$G$52,2,0)</f>
        <v>NLD</v>
      </c>
      <c r="F152">
        <v>3</v>
      </c>
      <c r="G152">
        <f>VLOOKUP(C152,[1]products!$B$2:$E$27,4,0)</f>
        <v>14.94</v>
      </c>
      <c r="H152">
        <f t="shared" si="2"/>
        <v>44.82</v>
      </c>
    </row>
    <row r="153" spans="1:8" x14ac:dyDescent="0.3">
      <c r="A153">
        <v>152</v>
      </c>
      <c r="B153">
        <v>30</v>
      </c>
      <c r="C153">
        <v>111</v>
      </c>
      <c r="D153" s="6">
        <v>42714</v>
      </c>
      <c r="E153" t="str">
        <f>VLOOKUP(B153,[1]pivottables!$F$2:$G$52,2,0)</f>
        <v>FRA</v>
      </c>
      <c r="F153">
        <v>5</v>
      </c>
      <c r="G153">
        <f>VLOOKUP(C153,[1]products!$B$2:$E$27,4,0)</f>
        <v>149.93</v>
      </c>
      <c r="H153">
        <f t="shared" si="2"/>
        <v>749.65000000000009</v>
      </c>
    </row>
    <row r="154" spans="1:8" x14ac:dyDescent="0.3">
      <c r="A154">
        <v>153</v>
      </c>
      <c r="B154">
        <v>39</v>
      </c>
      <c r="C154">
        <v>112</v>
      </c>
      <c r="D154" s="6">
        <v>42254</v>
      </c>
      <c r="E154" t="str">
        <f>VLOOKUP(B154,[1]pivottables!$F$2:$G$52,2,0)</f>
        <v>GBR</v>
      </c>
      <c r="F154">
        <v>5</v>
      </c>
      <c r="G154">
        <f>VLOOKUP(C154,[1]products!$B$2:$E$27,4,0)</f>
        <v>106.3</v>
      </c>
      <c r="H154">
        <f t="shared" si="2"/>
        <v>531.5</v>
      </c>
    </row>
    <row r="155" spans="1:8" x14ac:dyDescent="0.3">
      <c r="A155">
        <v>154</v>
      </c>
      <c r="B155">
        <v>11</v>
      </c>
      <c r="C155">
        <v>119</v>
      </c>
      <c r="D155" s="6">
        <v>42833</v>
      </c>
      <c r="E155" t="str">
        <f>VLOOKUP(B155,[1]pivottables!$F$2:$G$52,2,0)</f>
        <v>ITA</v>
      </c>
      <c r="F155">
        <v>4</v>
      </c>
      <c r="G155">
        <f>VLOOKUP(C155,[1]products!$B$2:$E$27,4,0)</f>
        <v>74.55</v>
      </c>
      <c r="H155">
        <f t="shared" si="2"/>
        <v>298.2</v>
      </c>
    </row>
    <row r="156" spans="1:8" x14ac:dyDescent="0.3">
      <c r="A156">
        <v>155</v>
      </c>
      <c r="B156">
        <v>10</v>
      </c>
      <c r="C156">
        <v>101</v>
      </c>
      <c r="D156" s="6">
        <v>42979</v>
      </c>
      <c r="E156" t="str">
        <f>VLOOKUP(B156,[1]pivottables!$F$2:$G$52,2,0)</f>
        <v>NLD</v>
      </c>
      <c r="F156">
        <v>2</v>
      </c>
      <c r="G156">
        <f>VLOOKUP(C156,[1]products!$B$2:$E$27,4,0)</f>
        <v>108.61</v>
      </c>
      <c r="H156">
        <f t="shared" si="2"/>
        <v>217.22</v>
      </c>
    </row>
    <row r="157" spans="1:8" x14ac:dyDescent="0.3">
      <c r="A157">
        <v>156</v>
      </c>
      <c r="B157">
        <v>39</v>
      </c>
      <c r="C157">
        <v>104</v>
      </c>
      <c r="D157" s="6">
        <v>42641</v>
      </c>
      <c r="E157" t="str">
        <f>VLOOKUP(B157,[1]pivottables!$F$2:$G$52,2,0)</f>
        <v>GBR</v>
      </c>
      <c r="F157">
        <v>2</v>
      </c>
      <c r="G157">
        <f>VLOOKUP(C157,[1]products!$B$2:$E$27,4,0)</f>
        <v>122.18</v>
      </c>
      <c r="H157">
        <f t="shared" si="2"/>
        <v>244.36</v>
      </c>
    </row>
    <row r="158" spans="1:8" x14ac:dyDescent="0.3">
      <c r="A158">
        <v>157</v>
      </c>
      <c r="B158">
        <v>22</v>
      </c>
      <c r="C158">
        <v>124</v>
      </c>
      <c r="D158" s="6">
        <v>42652</v>
      </c>
      <c r="E158" t="str">
        <f>VLOOKUP(B158,[1]pivottables!$F$2:$G$52,2,0)</f>
        <v>FRA</v>
      </c>
      <c r="F158">
        <v>3</v>
      </c>
      <c r="G158">
        <f>VLOOKUP(C158,[1]products!$B$2:$E$27,4,0)</f>
        <v>108.54</v>
      </c>
      <c r="H158">
        <f t="shared" si="2"/>
        <v>325.62</v>
      </c>
    </row>
    <row r="159" spans="1:8" x14ac:dyDescent="0.3">
      <c r="A159">
        <v>158</v>
      </c>
      <c r="B159">
        <v>4</v>
      </c>
      <c r="C159">
        <v>114</v>
      </c>
      <c r="D159" s="6">
        <v>42906</v>
      </c>
      <c r="E159" t="str">
        <f>VLOOKUP(B159,[1]pivottables!$F$2:$G$52,2,0)</f>
        <v>ITA</v>
      </c>
      <c r="F159">
        <v>3</v>
      </c>
      <c r="G159">
        <f>VLOOKUP(C159,[1]products!$B$2:$E$27,4,0)</f>
        <v>74.38</v>
      </c>
      <c r="H159">
        <f t="shared" si="2"/>
        <v>223.14</v>
      </c>
    </row>
    <row r="160" spans="1:8" x14ac:dyDescent="0.3">
      <c r="A160">
        <v>159</v>
      </c>
      <c r="B160">
        <v>45</v>
      </c>
      <c r="C160">
        <v>100</v>
      </c>
      <c r="D160" s="6">
        <v>42017</v>
      </c>
      <c r="E160" t="str">
        <f>VLOOKUP(B160,[1]pivottables!$F$2:$G$52,2,0)</f>
        <v>NLD</v>
      </c>
      <c r="F160">
        <v>1</v>
      </c>
      <c r="G160">
        <f>VLOOKUP(C160,[1]products!$B$2:$E$27,4,0)</f>
        <v>30.29</v>
      </c>
      <c r="H160">
        <f t="shared" si="2"/>
        <v>30.29</v>
      </c>
    </row>
    <row r="161" spans="1:8" x14ac:dyDescent="0.3">
      <c r="A161">
        <v>160</v>
      </c>
      <c r="B161">
        <v>25</v>
      </c>
      <c r="C161">
        <v>123</v>
      </c>
      <c r="D161" s="6">
        <v>42428</v>
      </c>
      <c r="E161" t="str">
        <f>VLOOKUP(B161,[1]pivottables!$F$2:$G$52,2,0)</f>
        <v>CHN</v>
      </c>
      <c r="F161">
        <v>4</v>
      </c>
      <c r="G161">
        <f>VLOOKUP(C161,[1]products!$B$2:$E$27,4,0)</f>
        <v>39.67</v>
      </c>
      <c r="H161">
        <f t="shared" si="2"/>
        <v>158.68</v>
      </c>
    </row>
    <row r="162" spans="1:8" x14ac:dyDescent="0.3">
      <c r="A162">
        <v>161</v>
      </c>
      <c r="B162">
        <v>36</v>
      </c>
      <c r="C162">
        <v>124</v>
      </c>
      <c r="D162" s="6">
        <v>42334</v>
      </c>
      <c r="E162" t="str">
        <f>VLOOKUP(B162,[1]pivottables!$F$2:$G$52,2,0)</f>
        <v>FRA</v>
      </c>
      <c r="F162">
        <v>2</v>
      </c>
      <c r="G162">
        <f>VLOOKUP(C162,[1]products!$B$2:$E$27,4,0)</f>
        <v>108.54</v>
      </c>
      <c r="H162">
        <f t="shared" si="2"/>
        <v>217.08</v>
      </c>
    </row>
    <row r="163" spans="1:8" x14ac:dyDescent="0.3">
      <c r="A163">
        <v>162</v>
      </c>
      <c r="B163">
        <v>36</v>
      </c>
      <c r="C163">
        <v>115</v>
      </c>
      <c r="D163" s="6">
        <v>42892</v>
      </c>
      <c r="E163" t="str">
        <f>VLOOKUP(B163,[1]pivottables!$F$2:$G$52,2,0)</f>
        <v>FRA</v>
      </c>
      <c r="F163">
        <v>3</v>
      </c>
      <c r="G163">
        <f>VLOOKUP(C163,[1]products!$B$2:$E$27,4,0)</f>
        <v>22.55</v>
      </c>
      <c r="H163">
        <f t="shared" si="2"/>
        <v>67.650000000000006</v>
      </c>
    </row>
    <row r="164" spans="1:8" x14ac:dyDescent="0.3">
      <c r="A164">
        <v>163</v>
      </c>
      <c r="B164">
        <v>4</v>
      </c>
      <c r="C164">
        <v>118</v>
      </c>
      <c r="D164" s="6">
        <v>42894</v>
      </c>
      <c r="E164" t="str">
        <f>VLOOKUP(B164,[1]pivottables!$F$2:$G$52,2,0)</f>
        <v>ITA</v>
      </c>
      <c r="F164">
        <v>4</v>
      </c>
      <c r="G164">
        <f>VLOOKUP(C164,[1]products!$B$2:$E$27,4,0)</f>
        <v>56.48</v>
      </c>
      <c r="H164">
        <f t="shared" si="2"/>
        <v>225.92</v>
      </c>
    </row>
    <row r="165" spans="1:8" x14ac:dyDescent="0.3">
      <c r="A165">
        <v>164</v>
      </c>
      <c r="B165">
        <v>23</v>
      </c>
      <c r="C165">
        <v>104</v>
      </c>
      <c r="D165" s="6">
        <v>42536</v>
      </c>
      <c r="E165" t="str">
        <f>VLOOKUP(B165,[1]pivottables!$F$2:$G$52,2,0)</f>
        <v>GBR</v>
      </c>
      <c r="F165">
        <v>1</v>
      </c>
      <c r="G165">
        <f>VLOOKUP(C165,[1]products!$B$2:$E$27,4,0)</f>
        <v>122.18</v>
      </c>
      <c r="H165">
        <f t="shared" si="2"/>
        <v>122.18</v>
      </c>
    </row>
    <row r="166" spans="1:8" x14ac:dyDescent="0.3">
      <c r="A166">
        <v>165</v>
      </c>
      <c r="B166">
        <v>48</v>
      </c>
      <c r="C166">
        <v>121</v>
      </c>
      <c r="D166" s="6">
        <v>42235</v>
      </c>
      <c r="E166" t="str">
        <f>VLOOKUP(B166,[1]pivottables!$F$2:$G$52,2,0)</f>
        <v>GBR</v>
      </c>
      <c r="F166">
        <v>1</v>
      </c>
      <c r="G166">
        <f>VLOOKUP(C166,[1]products!$B$2:$E$27,4,0)</f>
        <v>49.09</v>
      </c>
      <c r="H166">
        <f t="shared" si="2"/>
        <v>49.09</v>
      </c>
    </row>
    <row r="167" spans="1:8" x14ac:dyDescent="0.3">
      <c r="A167">
        <v>166</v>
      </c>
      <c r="B167">
        <v>36</v>
      </c>
      <c r="C167">
        <v>119</v>
      </c>
      <c r="D167" s="6">
        <v>42986</v>
      </c>
      <c r="E167" t="str">
        <f>VLOOKUP(B167,[1]pivottables!$F$2:$G$52,2,0)</f>
        <v>FRA</v>
      </c>
      <c r="F167">
        <v>1</v>
      </c>
      <c r="G167">
        <f>VLOOKUP(C167,[1]products!$B$2:$E$27,4,0)</f>
        <v>74.55</v>
      </c>
      <c r="H167">
        <f t="shared" si="2"/>
        <v>74.55</v>
      </c>
    </row>
    <row r="168" spans="1:8" x14ac:dyDescent="0.3">
      <c r="A168">
        <v>167</v>
      </c>
      <c r="B168">
        <v>15</v>
      </c>
      <c r="C168">
        <v>123</v>
      </c>
      <c r="D168" s="6">
        <v>42885</v>
      </c>
      <c r="E168" t="str">
        <f>VLOOKUP(B168,[1]pivottables!$F$2:$G$52,2,0)</f>
        <v>HUN</v>
      </c>
      <c r="F168">
        <v>2</v>
      </c>
      <c r="G168">
        <f>VLOOKUP(C168,[1]products!$B$2:$E$27,4,0)</f>
        <v>39.67</v>
      </c>
      <c r="H168">
        <f t="shared" si="2"/>
        <v>79.34</v>
      </c>
    </row>
    <row r="169" spans="1:8" x14ac:dyDescent="0.3">
      <c r="A169">
        <v>168</v>
      </c>
      <c r="B169">
        <v>10</v>
      </c>
      <c r="C169">
        <v>110</v>
      </c>
      <c r="D169" s="6">
        <v>42817</v>
      </c>
      <c r="E169" t="str">
        <f>VLOOKUP(B169,[1]pivottables!$F$2:$G$52,2,0)</f>
        <v>NLD</v>
      </c>
      <c r="F169">
        <v>3</v>
      </c>
      <c r="G169">
        <f>VLOOKUP(C169,[1]products!$B$2:$E$27,4,0)</f>
        <v>10.76</v>
      </c>
      <c r="H169">
        <f t="shared" si="2"/>
        <v>32.28</v>
      </c>
    </row>
    <row r="170" spans="1:8" x14ac:dyDescent="0.3">
      <c r="A170">
        <v>169</v>
      </c>
      <c r="B170">
        <v>50</v>
      </c>
      <c r="C170">
        <v>104</v>
      </c>
      <c r="D170" s="6">
        <v>42238</v>
      </c>
      <c r="E170" t="str">
        <f>VLOOKUP(B170,[1]pivottables!$F$2:$G$52,2,0)</f>
        <v>NLD</v>
      </c>
      <c r="F170">
        <v>3</v>
      </c>
      <c r="G170">
        <f>VLOOKUP(C170,[1]products!$B$2:$E$27,4,0)</f>
        <v>122.18</v>
      </c>
      <c r="H170">
        <f t="shared" si="2"/>
        <v>366.54</v>
      </c>
    </row>
    <row r="171" spans="1:8" x14ac:dyDescent="0.3">
      <c r="A171">
        <v>170</v>
      </c>
      <c r="B171">
        <v>12</v>
      </c>
      <c r="C171">
        <v>106</v>
      </c>
      <c r="D171" s="6">
        <v>42721</v>
      </c>
      <c r="E171" t="str">
        <f>VLOOKUP(B171,[1]pivottables!$F$2:$G$52,2,0)</f>
        <v>FRA</v>
      </c>
      <c r="F171">
        <v>3</v>
      </c>
      <c r="G171">
        <f>VLOOKUP(C171,[1]products!$B$2:$E$27,4,0)</f>
        <v>132.88</v>
      </c>
      <c r="H171">
        <f t="shared" si="2"/>
        <v>398.64</v>
      </c>
    </row>
    <row r="172" spans="1:8" x14ac:dyDescent="0.3">
      <c r="A172">
        <v>171</v>
      </c>
      <c r="B172">
        <v>6</v>
      </c>
      <c r="C172">
        <v>123</v>
      </c>
      <c r="D172" s="6">
        <v>42043</v>
      </c>
      <c r="E172" t="str">
        <f>VLOOKUP(B172,[1]pivottables!$F$2:$G$52,2,0)</f>
        <v>CAN</v>
      </c>
      <c r="F172">
        <v>5</v>
      </c>
      <c r="G172">
        <f>VLOOKUP(C172,[1]products!$B$2:$E$27,4,0)</f>
        <v>39.67</v>
      </c>
      <c r="H172">
        <f t="shared" si="2"/>
        <v>198.35000000000002</v>
      </c>
    </row>
    <row r="173" spans="1:8" x14ac:dyDescent="0.3">
      <c r="A173">
        <v>172</v>
      </c>
      <c r="B173">
        <v>45</v>
      </c>
      <c r="C173">
        <v>114</v>
      </c>
      <c r="D173" s="6">
        <v>42428</v>
      </c>
      <c r="E173" t="str">
        <f>VLOOKUP(B173,[1]pivottables!$F$2:$G$52,2,0)</f>
        <v>NLD</v>
      </c>
      <c r="F173">
        <v>2</v>
      </c>
      <c r="G173">
        <f>VLOOKUP(C173,[1]products!$B$2:$E$27,4,0)</f>
        <v>74.38</v>
      </c>
      <c r="H173">
        <f t="shared" si="2"/>
        <v>148.76</v>
      </c>
    </row>
    <row r="174" spans="1:8" x14ac:dyDescent="0.3">
      <c r="A174">
        <v>173</v>
      </c>
      <c r="B174">
        <v>21</v>
      </c>
      <c r="C174">
        <v>114</v>
      </c>
      <c r="D174" s="6">
        <v>42025</v>
      </c>
      <c r="E174" t="str">
        <f>VLOOKUP(B174,[1]pivottables!$F$2:$G$52,2,0)</f>
        <v>HUN</v>
      </c>
      <c r="F174">
        <v>4</v>
      </c>
      <c r="G174">
        <f>VLOOKUP(C174,[1]products!$B$2:$E$27,4,0)</f>
        <v>74.38</v>
      </c>
      <c r="H174">
        <f t="shared" si="2"/>
        <v>297.52</v>
      </c>
    </row>
    <row r="175" spans="1:8" x14ac:dyDescent="0.3">
      <c r="A175">
        <v>174</v>
      </c>
      <c r="B175">
        <v>36</v>
      </c>
      <c r="C175">
        <v>118</v>
      </c>
      <c r="D175" s="6">
        <v>42946</v>
      </c>
      <c r="E175" t="str">
        <f>VLOOKUP(B175,[1]pivottables!$F$2:$G$52,2,0)</f>
        <v>FRA</v>
      </c>
      <c r="F175">
        <v>4</v>
      </c>
      <c r="G175">
        <f>VLOOKUP(C175,[1]products!$B$2:$E$27,4,0)</f>
        <v>56.48</v>
      </c>
      <c r="H175">
        <f t="shared" si="2"/>
        <v>225.92</v>
      </c>
    </row>
    <row r="176" spans="1:8" x14ac:dyDescent="0.3">
      <c r="A176">
        <v>175</v>
      </c>
      <c r="B176">
        <v>38</v>
      </c>
      <c r="C176">
        <v>107</v>
      </c>
      <c r="D176" s="6">
        <v>42125</v>
      </c>
      <c r="E176" t="str">
        <f>VLOOKUP(B176,[1]pivottables!$F$2:$G$52,2,0)</f>
        <v>USA</v>
      </c>
      <c r="F176">
        <v>3</v>
      </c>
      <c r="G176">
        <f>VLOOKUP(C176,[1]products!$B$2:$E$27,4,0)</f>
        <v>43.1</v>
      </c>
      <c r="H176">
        <f t="shared" si="2"/>
        <v>129.30000000000001</v>
      </c>
    </row>
    <row r="177" spans="1:8" x14ac:dyDescent="0.3">
      <c r="A177">
        <v>176</v>
      </c>
      <c r="B177">
        <v>19</v>
      </c>
      <c r="C177">
        <v>101</v>
      </c>
      <c r="D177" s="6">
        <v>43090</v>
      </c>
      <c r="E177" t="str">
        <f>VLOOKUP(B177,[1]pivottables!$F$2:$G$52,2,0)</f>
        <v>NLD</v>
      </c>
      <c r="F177">
        <v>4</v>
      </c>
      <c r="G177">
        <f>VLOOKUP(C177,[1]products!$B$2:$E$27,4,0)</f>
        <v>108.61</v>
      </c>
      <c r="H177">
        <f t="shared" si="2"/>
        <v>434.44</v>
      </c>
    </row>
    <row r="178" spans="1:8" x14ac:dyDescent="0.3">
      <c r="A178">
        <v>177</v>
      </c>
      <c r="B178">
        <v>2</v>
      </c>
      <c r="C178">
        <v>122</v>
      </c>
      <c r="D178" s="6">
        <v>42725</v>
      </c>
      <c r="E178" t="str">
        <f>VLOOKUP(B178,[1]pivottables!$F$2:$G$52,2,0)</f>
        <v>CZE</v>
      </c>
      <c r="F178">
        <v>2</v>
      </c>
      <c r="G178">
        <f>VLOOKUP(C178,[1]products!$B$2:$E$27,4,0)</f>
        <v>32.64</v>
      </c>
      <c r="H178">
        <f t="shared" si="2"/>
        <v>65.28</v>
      </c>
    </row>
    <row r="179" spans="1:8" x14ac:dyDescent="0.3">
      <c r="A179">
        <v>178</v>
      </c>
      <c r="B179">
        <v>21</v>
      </c>
      <c r="C179">
        <v>119</v>
      </c>
      <c r="D179" s="6">
        <v>42378</v>
      </c>
      <c r="E179" t="str">
        <f>VLOOKUP(B179,[1]pivottables!$F$2:$G$52,2,0)</f>
        <v>HUN</v>
      </c>
      <c r="F179">
        <v>4</v>
      </c>
      <c r="G179">
        <f>VLOOKUP(C179,[1]products!$B$2:$E$27,4,0)</f>
        <v>74.55</v>
      </c>
      <c r="H179">
        <f t="shared" si="2"/>
        <v>298.2</v>
      </c>
    </row>
    <row r="180" spans="1:8" x14ac:dyDescent="0.3">
      <c r="A180">
        <v>179</v>
      </c>
      <c r="B180">
        <v>1</v>
      </c>
      <c r="C180">
        <v>125</v>
      </c>
      <c r="D180" s="6">
        <v>42354</v>
      </c>
      <c r="E180" t="str">
        <f>VLOOKUP(B180,[1]pivottables!$F$2:$G$52,2,0)</f>
        <v>FRA</v>
      </c>
      <c r="F180">
        <v>1</v>
      </c>
      <c r="G180">
        <f>VLOOKUP(C180,[1]products!$B$2:$E$27,4,0)</f>
        <v>90.44</v>
      </c>
      <c r="H180">
        <f t="shared" si="2"/>
        <v>90.44</v>
      </c>
    </row>
    <row r="181" spans="1:8" x14ac:dyDescent="0.3">
      <c r="A181">
        <v>180</v>
      </c>
      <c r="B181">
        <v>46</v>
      </c>
      <c r="C181">
        <v>108</v>
      </c>
      <c r="D181" s="6">
        <v>42773</v>
      </c>
      <c r="E181" t="str">
        <f>VLOOKUP(B181,[1]pivottables!$F$2:$G$52,2,0)</f>
        <v>JPN</v>
      </c>
      <c r="F181">
        <v>3</v>
      </c>
      <c r="G181">
        <f>VLOOKUP(C181,[1]products!$B$2:$E$27,4,0)</f>
        <v>137.97999999999999</v>
      </c>
      <c r="H181">
        <f t="shared" si="2"/>
        <v>413.93999999999994</v>
      </c>
    </row>
    <row r="182" spans="1:8" x14ac:dyDescent="0.3">
      <c r="A182">
        <v>181</v>
      </c>
      <c r="B182">
        <v>17</v>
      </c>
      <c r="C182">
        <v>109</v>
      </c>
      <c r="D182" s="6">
        <v>42286</v>
      </c>
      <c r="E182" t="str">
        <f>VLOOKUP(B182,[1]pivottables!$F$2:$G$52,2,0)</f>
        <v>CAN</v>
      </c>
      <c r="F182">
        <v>4</v>
      </c>
      <c r="G182">
        <f>VLOOKUP(C182,[1]products!$B$2:$E$27,4,0)</f>
        <v>143.97999999999999</v>
      </c>
      <c r="H182">
        <f t="shared" si="2"/>
        <v>575.91999999999996</v>
      </c>
    </row>
    <row r="183" spans="1:8" x14ac:dyDescent="0.3">
      <c r="A183">
        <v>182</v>
      </c>
      <c r="B183">
        <v>29</v>
      </c>
      <c r="C183">
        <v>110</v>
      </c>
      <c r="D183" s="6">
        <v>42096</v>
      </c>
      <c r="E183" t="str">
        <f>VLOOKUP(B183,[1]pivottables!$F$2:$G$52,2,0)</f>
        <v>FRA</v>
      </c>
      <c r="F183">
        <v>1</v>
      </c>
      <c r="G183">
        <f>VLOOKUP(C183,[1]products!$B$2:$E$27,4,0)</f>
        <v>10.76</v>
      </c>
      <c r="H183">
        <f t="shared" si="2"/>
        <v>10.76</v>
      </c>
    </row>
    <row r="184" spans="1:8" x14ac:dyDescent="0.3">
      <c r="A184">
        <v>183</v>
      </c>
      <c r="B184">
        <v>16</v>
      </c>
      <c r="C184">
        <v>118</v>
      </c>
      <c r="D184" s="6">
        <v>42811</v>
      </c>
      <c r="E184" t="str">
        <f>VLOOKUP(B184,[1]pivottables!$F$2:$G$52,2,0)</f>
        <v>JPN</v>
      </c>
      <c r="F184">
        <v>5</v>
      </c>
      <c r="G184">
        <f>VLOOKUP(C184,[1]products!$B$2:$E$27,4,0)</f>
        <v>56.48</v>
      </c>
      <c r="H184">
        <f t="shared" si="2"/>
        <v>282.39999999999998</v>
      </c>
    </row>
    <row r="185" spans="1:8" x14ac:dyDescent="0.3">
      <c r="A185">
        <v>184</v>
      </c>
      <c r="B185">
        <v>3</v>
      </c>
      <c r="C185">
        <v>115</v>
      </c>
      <c r="D185" s="6">
        <v>42570</v>
      </c>
      <c r="E185" t="str">
        <f>VLOOKUP(B185,[1]pivottables!$F$2:$G$52,2,0)</f>
        <v>NLD</v>
      </c>
      <c r="F185">
        <v>4</v>
      </c>
      <c r="G185">
        <f>VLOOKUP(C185,[1]products!$B$2:$E$27,4,0)</f>
        <v>22.55</v>
      </c>
      <c r="H185">
        <f t="shared" si="2"/>
        <v>90.2</v>
      </c>
    </row>
    <row r="186" spans="1:8" x14ac:dyDescent="0.3">
      <c r="A186">
        <v>185</v>
      </c>
      <c r="B186">
        <v>8</v>
      </c>
      <c r="C186">
        <v>110</v>
      </c>
      <c r="D186" s="6">
        <v>42634</v>
      </c>
      <c r="E186" t="str">
        <f>VLOOKUP(B186,[1]pivottables!$F$2:$G$52,2,0)</f>
        <v>CZE</v>
      </c>
      <c r="F186">
        <v>5</v>
      </c>
      <c r="G186">
        <f>VLOOKUP(C186,[1]products!$B$2:$E$27,4,0)</f>
        <v>10.76</v>
      </c>
      <c r="H186">
        <f t="shared" si="2"/>
        <v>53.8</v>
      </c>
    </row>
    <row r="187" spans="1:8" x14ac:dyDescent="0.3">
      <c r="A187">
        <v>186</v>
      </c>
      <c r="B187">
        <v>42</v>
      </c>
      <c r="C187">
        <v>106</v>
      </c>
      <c r="D187" s="6">
        <v>42171</v>
      </c>
      <c r="E187" t="str">
        <f>VLOOKUP(B187,[1]pivottables!$F$2:$G$52,2,0)</f>
        <v>HUN</v>
      </c>
      <c r="F187">
        <v>4</v>
      </c>
      <c r="G187">
        <f>VLOOKUP(C187,[1]products!$B$2:$E$27,4,0)</f>
        <v>132.88</v>
      </c>
      <c r="H187">
        <f t="shared" si="2"/>
        <v>531.52</v>
      </c>
    </row>
    <row r="188" spans="1:8" x14ac:dyDescent="0.3">
      <c r="A188">
        <v>187</v>
      </c>
      <c r="B188">
        <v>4</v>
      </c>
      <c r="C188">
        <v>111</v>
      </c>
      <c r="D188" s="6">
        <v>42724</v>
      </c>
      <c r="E188" t="str">
        <f>VLOOKUP(B188,[1]pivottables!$F$2:$G$52,2,0)</f>
        <v>ITA</v>
      </c>
      <c r="F188">
        <v>5</v>
      </c>
      <c r="G188">
        <f>VLOOKUP(C188,[1]products!$B$2:$E$27,4,0)</f>
        <v>149.93</v>
      </c>
      <c r="H188">
        <f t="shared" si="2"/>
        <v>749.65000000000009</v>
      </c>
    </row>
    <row r="189" spans="1:8" x14ac:dyDescent="0.3">
      <c r="A189">
        <v>188</v>
      </c>
      <c r="B189">
        <v>35</v>
      </c>
      <c r="C189">
        <v>118</v>
      </c>
      <c r="D189" s="6">
        <v>42488</v>
      </c>
      <c r="E189" t="str">
        <f>VLOOKUP(B189,[1]pivottables!$F$2:$G$52,2,0)</f>
        <v>JPN</v>
      </c>
      <c r="F189">
        <v>1</v>
      </c>
      <c r="G189">
        <f>VLOOKUP(C189,[1]products!$B$2:$E$27,4,0)</f>
        <v>56.48</v>
      </c>
      <c r="H189">
        <f t="shared" si="2"/>
        <v>56.48</v>
      </c>
    </row>
    <row r="190" spans="1:8" x14ac:dyDescent="0.3">
      <c r="A190">
        <v>189</v>
      </c>
      <c r="B190">
        <v>24</v>
      </c>
      <c r="C190">
        <v>112</v>
      </c>
      <c r="D190" s="6">
        <v>42857</v>
      </c>
      <c r="E190" t="str">
        <f>VLOOKUP(B190,[1]pivottables!$F$2:$G$52,2,0)</f>
        <v>NLD</v>
      </c>
      <c r="F190">
        <v>5</v>
      </c>
      <c r="G190">
        <f>VLOOKUP(C190,[1]products!$B$2:$E$27,4,0)</f>
        <v>106.3</v>
      </c>
      <c r="H190">
        <f t="shared" si="2"/>
        <v>531.5</v>
      </c>
    </row>
    <row r="191" spans="1:8" x14ac:dyDescent="0.3">
      <c r="A191">
        <v>190</v>
      </c>
      <c r="B191">
        <v>25</v>
      </c>
      <c r="C191">
        <v>105</v>
      </c>
      <c r="D191" s="6">
        <v>42129</v>
      </c>
      <c r="E191" t="str">
        <f>VLOOKUP(B191,[1]pivottables!$F$2:$G$52,2,0)</f>
        <v>CHN</v>
      </c>
      <c r="F191">
        <v>5</v>
      </c>
      <c r="G191">
        <f>VLOOKUP(C191,[1]products!$B$2:$E$27,4,0)</f>
        <v>149.93</v>
      </c>
      <c r="H191">
        <f t="shared" si="2"/>
        <v>749.65000000000009</v>
      </c>
    </row>
    <row r="192" spans="1:8" x14ac:dyDescent="0.3">
      <c r="A192">
        <v>191</v>
      </c>
      <c r="B192">
        <v>7</v>
      </c>
      <c r="C192">
        <v>122</v>
      </c>
      <c r="D192" s="6">
        <v>42928</v>
      </c>
      <c r="E192" t="str">
        <f>VLOOKUP(B192,[1]pivottables!$F$2:$G$52,2,0)</f>
        <v>CAN</v>
      </c>
      <c r="F192">
        <v>4</v>
      </c>
      <c r="G192">
        <f>VLOOKUP(C192,[1]products!$B$2:$E$27,4,0)</f>
        <v>32.64</v>
      </c>
      <c r="H192">
        <f t="shared" si="2"/>
        <v>130.56</v>
      </c>
    </row>
    <row r="193" spans="1:8" x14ac:dyDescent="0.3">
      <c r="A193">
        <v>192</v>
      </c>
      <c r="B193">
        <v>1</v>
      </c>
      <c r="C193">
        <v>110</v>
      </c>
      <c r="D193" s="6">
        <v>42245</v>
      </c>
      <c r="E193" t="str">
        <f>VLOOKUP(B193,[1]pivottables!$F$2:$G$52,2,0)</f>
        <v>FRA</v>
      </c>
      <c r="F193">
        <v>1</v>
      </c>
      <c r="G193">
        <f>VLOOKUP(C193,[1]products!$B$2:$E$27,4,0)</f>
        <v>10.76</v>
      </c>
      <c r="H193">
        <f t="shared" si="2"/>
        <v>10.76</v>
      </c>
    </row>
    <row r="194" spans="1:8" x14ac:dyDescent="0.3">
      <c r="A194">
        <v>193</v>
      </c>
      <c r="B194">
        <v>10</v>
      </c>
      <c r="C194">
        <v>101</v>
      </c>
      <c r="D194" s="6">
        <v>43009</v>
      </c>
      <c r="E194" t="str">
        <f>VLOOKUP(B194,[1]pivottables!$F$2:$G$52,2,0)</f>
        <v>NLD</v>
      </c>
      <c r="F194">
        <v>4</v>
      </c>
      <c r="G194">
        <f>VLOOKUP(C194,[1]products!$B$2:$E$27,4,0)</f>
        <v>108.61</v>
      </c>
      <c r="H194">
        <f t="shared" si="2"/>
        <v>434.44</v>
      </c>
    </row>
    <row r="195" spans="1:8" x14ac:dyDescent="0.3">
      <c r="A195">
        <v>194</v>
      </c>
      <c r="B195">
        <v>39</v>
      </c>
      <c r="C195">
        <v>111</v>
      </c>
      <c r="D195" s="6">
        <v>42998</v>
      </c>
      <c r="E195" t="str">
        <f>VLOOKUP(B195,[1]pivottables!$F$2:$G$52,2,0)</f>
        <v>GBR</v>
      </c>
      <c r="F195">
        <v>4</v>
      </c>
      <c r="G195">
        <f>VLOOKUP(C195,[1]products!$B$2:$E$27,4,0)</f>
        <v>149.93</v>
      </c>
      <c r="H195">
        <f t="shared" ref="H195:H258" si="3">G195*F195</f>
        <v>599.72</v>
      </c>
    </row>
    <row r="196" spans="1:8" x14ac:dyDescent="0.3">
      <c r="A196">
        <v>195</v>
      </c>
      <c r="B196">
        <v>25</v>
      </c>
      <c r="C196">
        <v>111</v>
      </c>
      <c r="D196" s="6">
        <v>43068</v>
      </c>
      <c r="E196" t="str">
        <f>VLOOKUP(B196,[1]pivottables!$F$2:$G$52,2,0)</f>
        <v>CHN</v>
      </c>
      <c r="F196">
        <v>2</v>
      </c>
      <c r="G196">
        <f>VLOOKUP(C196,[1]products!$B$2:$E$27,4,0)</f>
        <v>149.93</v>
      </c>
      <c r="H196">
        <f t="shared" si="3"/>
        <v>299.86</v>
      </c>
    </row>
    <row r="197" spans="1:8" x14ac:dyDescent="0.3">
      <c r="A197">
        <v>196</v>
      </c>
      <c r="B197">
        <v>13</v>
      </c>
      <c r="C197">
        <v>100</v>
      </c>
      <c r="D197" s="6">
        <v>42838</v>
      </c>
      <c r="E197" t="str">
        <f>VLOOKUP(B197,[1]pivottables!$F$2:$G$52,2,0)</f>
        <v>GBR</v>
      </c>
      <c r="F197">
        <v>4</v>
      </c>
      <c r="G197">
        <f>VLOOKUP(C197,[1]products!$B$2:$E$27,4,0)</f>
        <v>30.29</v>
      </c>
      <c r="H197">
        <f t="shared" si="3"/>
        <v>121.16</v>
      </c>
    </row>
    <row r="198" spans="1:8" x14ac:dyDescent="0.3">
      <c r="A198">
        <v>197</v>
      </c>
      <c r="B198">
        <v>11</v>
      </c>
      <c r="C198">
        <v>122</v>
      </c>
      <c r="D198" s="6">
        <v>42099</v>
      </c>
      <c r="E198" t="str">
        <f>VLOOKUP(B198,[1]pivottables!$F$2:$G$52,2,0)</f>
        <v>ITA</v>
      </c>
      <c r="F198">
        <v>3</v>
      </c>
      <c r="G198">
        <f>VLOOKUP(C198,[1]products!$B$2:$E$27,4,0)</f>
        <v>32.64</v>
      </c>
      <c r="H198">
        <f t="shared" si="3"/>
        <v>97.92</v>
      </c>
    </row>
    <row r="199" spans="1:8" x14ac:dyDescent="0.3">
      <c r="A199">
        <v>198</v>
      </c>
      <c r="B199">
        <v>46</v>
      </c>
      <c r="C199">
        <v>121</v>
      </c>
      <c r="D199" s="6">
        <v>42084</v>
      </c>
      <c r="E199" t="str">
        <f>VLOOKUP(B199,[1]pivottables!$F$2:$G$52,2,0)</f>
        <v>JPN</v>
      </c>
      <c r="F199">
        <v>5</v>
      </c>
      <c r="G199">
        <f>VLOOKUP(C199,[1]products!$B$2:$E$27,4,0)</f>
        <v>49.09</v>
      </c>
      <c r="H199">
        <f t="shared" si="3"/>
        <v>245.45000000000002</v>
      </c>
    </row>
    <row r="200" spans="1:8" x14ac:dyDescent="0.3">
      <c r="A200">
        <v>199</v>
      </c>
      <c r="B200">
        <v>1</v>
      </c>
      <c r="C200">
        <v>120</v>
      </c>
      <c r="D200" s="6">
        <v>42531</v>
      </c>
      <c r="E200" t="str">
        <f>VLOOKUP(B200,[1]pivottables!$F$2:$G$52,2,0)</f>
        <v>FRA</v>
      </c>
      <c r="F200">
        <v>4</v>
      </c>
      <c r="G200">
        <f>VLOOKUP(C200,[1]products!$B$2:$E$27,4,0)</f>
        <v>17.13</v>
      </c>
      <c r="H200">
        <f t="shared" si="3"/>
        <v>68.52</v>
      </c>
    </row>
    <row r="201" spans="1:8" x14ac:dyDescent="0.3">
      <c r="A201">
        <v>200</v>
      </c>
      <c r="B201">
        <v>17</v>
      </c>
      <c r="C201">
        <v>107</v>
      </c>
      <c r="D201" s="6">
        <v>42444</v>
      </c>
      <c r="E201" t="str">
        <f>VLOOKUP(B201,[1]pivottables!$F$2:$G$52,2,0)</f>
        <v>CAN</v>
      </c>
      <c r="F201">
        <v>5</v>
      </c>
      <c r="G201">
        <f>VLOOKUP(C201,[1]products!$B$2:$E$27,4,0)</f>
        <v>43.1</v>
      </c>
      <c r="H201">
        <f t="shared" si="3"/>
        <v>215.5</v>
      </c>
    </row>
    <row r="202" spans="1:8" x14ac:dyDescent="0.3">
      <c r="A202">
        <v>201</v>
      </c>
      <c r="B202">
        <v>41</v>
      </c>
      <c r="C202">
        <v>106</v>
      </c>
      <c r="D202" s="6">
        <v>42041</v>
      </c>
      <c r="E202" t="str">
        <f>VLOOKUP(B202,[1]pivottables!$F$2:$G$52,2,0)</f>
        <v>FRA</v>
      </c>
      <c r="F202">
        <v>4</v>
      </c>
      <c r="G202">
        <f>VLOOKUP(C202,[1]products!$B$2:$E$27,4,0)</f>
        <v>132.88</v>
      </c>
      <c r="H202">
        <f t="shared" si="3"/>
        <v>531.52</v>
      </c>
    </row>
    <row r="203" spans="1:8" x14ac:dyDescent="0.3">
      <c r="A203">
        <v>202</v>
      </c>
      <c r="B203">
        <v>23</v>
      </c>
      <c r="C203">
        <v>113</v>
      </c>
      <c r="D203" s="6">
        <v>42170</v>
      </c>
      <c r="E203" t="str">
        <f>VLOOKUP(B203,[1]pivottables!$F$2:$G$52,2,0)</f>
        <v>GBR</v>
      </c>
      <c r="F203">
        <v>1</v>
      </c>
      <c r="G203">
        <f>VLOOKUP(C203,[1]products!$B$2:$E$27,4,0)</f>
        <v>9.89</v>
      </c>
      <c r="H203">
        <f t="shared" si="3"/>
        <v>9.89</v>
      </c>
    </row>
    <row r="204" spans="1:8" x14ac:dyDescent="0.3">
      <c r="A204">
        <v>203</v>
      </c>
      <c r="B204">
        <v>27</v>
      </c>
      <c r="C204">
        <v>107</v>
      </c>
      <c r="D204" s="6">
        <v>42320</v>
      </c>
      <c r="E204" t="str">
        <f>VLOOKUP(B204,[1]pivottables!$F$2:$G$52,2,0)</f>
        <v>ITA</v>
      </c>
      <c r="F204">
        <v>1</v>
      </c>
      <c r="G204">
        <f>VLOOKUP(C204,[1]products!$B$2:$E$27,4,0)</f>
        <v>43.1</v>
      </c>
      <c r="H204">
        <f t="shared" si="3"/>
        <v>43.1</v>
      </c>
    </row>
    <row r="205" spans="1:8" x14ac:dyDescent="0.3">
      <c r="A205">
        <v>204</v>
      </c>
      <c r="B205">
        <v>46</v>
      </c>
      <c r="C205">
        <v>108</v>
      </c>
      <c r="D205" s="6">
        <v>42282</v>
      </c>
      <c r="E205" t="str">
        <f>VLOOKUP(B205,[1]pivottables!$F$2:$G$52,2,0)</f>
        <v>JPN</v>
      </c>
      <c r="F205">
        <v>2</v>
      </c>
      <c r="G205">
        <f>VLOOKUP(C205,[1]products!$B$2:$E$27,4,0)</f>
        <v>137.97999999999999</v>
      </c>
      <c r="H205">
        <f t="shared" si="3"/>
        <v>275.95999999999998</v>
      </c>
    </row>
    <row r="206" spans="1:8" x14ac:dyDescent="0.3">
      <c r="A206">
        <v>205</v>
      </c>
      <c r="B206">
        <v>34</v>
      </c>
      <c r="C206">
        <v>117</v>
      </c>
      <c r="D206" s="6">
        <v>42168</v>
      </c>
      <c r="E206" t="str">
        <f>VLOOKUP(B206,[1]pivottables!$F$2:$G$52,2,0)</f>
        <v>CAN</v>
      </c>
      <c r="F206">
        <v>5</v>
      </c>
      <c r="G206">
        <f>VLOOKUP(C206,[1]products!$B$2:$E$27,4,0)</f>
        <v>47.38</v>
      </c>
      <c r="H206">
        <f t="shared" si="3"/>
        <v>236.9</v>
      </c>
    </row>
    <row r="207" spans="1:8" x14ac:dyDescent="0.3">
      <c r="A207">
        <v>206</v>
      </c>
      <c r="B207">
        <v>6</v>
      </c>
      <c r="C207">
        <v>115</v>
      </c>
      <c r="D207" s="6">
        <v>42402</v>
      </c>
      <c r="E207" t="str">
        <f>VLOOKUP(B207,[1]pivottables!$F$2:$G$52,2,0)</f>
        <v>CAN</v>
      </c>
      <c r="F207">
        <v>5</v>
      </c>
      <c r="G207">
        <f>VLOOKUP(C207,[1]products!$B$2:$E$27,4,0)</f>
        <v>22.55</v>
      </c>
      <c r="H207">
        <f t="shared" si="3"/>
        <v>112.75</v>
      </c>
    </row>
    <row r="208" spans="1:8" x14ac:dyDescent="0.3">
      <c r="A208">
        <v>207</v>
      </c>
      <c r="B208">
        <v>20</v>
      </c>
      <c r="C208">
        <v>115</v>
      </c>
      <c r="D208" s="6">
        <v>43058</v>
      </c>
      <c r="E208" t="str">
        <f>VLOOKUP(B208,[1]pivottables!$F$2:$G$52,2,0)</f>
        <v>FRA</v>
      </c>
      <c r="F208">
        <v>5</v>
      </c>
      <c r="G208">
        <f>VLOOKUP(C208,[1]products!$B$2:$E$27,4,0)</f>
        <v>22.55</v>
      </c>
      <c r="H208">
        <f t="shared" si="3"/>
        <v>112.75</v>
      </c>
    </row>
    <row r="209" spans="1:8" x14ac:dyDescent="0.3">
      <c r="A209">
        <v>208</v>
      </c>
      <c r="B209">
        <v>32</v>
      </c>
      <c r="C209">
        <v>106</v>
      </c>
      <c r="D209" s="6">
        <v>42903</v>
      </c>
      <c r="E209" t="str">
        <f>VLOOKUP(B209,[1]pivottables!$F$2:$G$52,2,0)</f>
        <v>NLD</v>
      </c>
      <c r="F209">
        <v>1</v>
      </c>
      <c r="G209">
        <f>VLOOKUP(C209,[1]products!$B$2:$E$27,4,0)</f>
        <v>132.88</v>
      </c>
      <c r="H209">
        <f t="shared" si="3"/>
        <v>132.88</v>
      </c>
    </row>
    <row r="210" spans="1:8" x14ac:dyDescent="0.3">
      <c r="A210">
        <v>209</v>
      </c>
      <c r="B210">
        <v>6</v>
      </c>
      <c r="C210">
        <v>123</v>
      </c>
      <c r="D210" s="6">
        <v>42014</v>
      </c>
      <c r="E210" t="str">
        <f>VLOOKUP(B210,[1]pivottables!$F$2:$G$52,2,0)</f>
        <v>CAN</v>
      </c>
      <c r="F210">
        <v>5</v>
      </c>
      <c r="G210">
        <f>VLOOKUP(C210,[1]products!$B$2:$E$27,4,0)</f>
        <v>39.67</v>
      </c>
      <c r="H210">
        <f t="shared" si="3"/>
        <v>198.35000000000002</v>
      </c>
    </row>
    <row r="211" spans="1:8" x14ac:dyDescent="0.3">
      <c r="A211">
        <v>210</v>
      </c>
      <c r="B211">
        <v>6</v>
      </c>
      <c r="C211">
        <v>122</v>
      </c>
      <c r="D211" s="6">
        <v>42043</v>
      </c>
      <c r="E211" t="str">
        <f>VLOOKUP(B211,[1]pivottables!$F$2:$G$52,2,0)</f>
        <v>CAN</v>
      </c>
      <c r="F211">
        <v>2</v>
      </c>
      <c r="G211">
        <f>VLOOKUP(C211,[1]products!$B$2:$E$27,4,0)</f>
        <v>32.64</v>
      </c>
      <c r="H211">
        <f t="shared" si="3"/>
        <v>65.28</v>
      </c>
    </row>
    <row r="212" spans="1:8" x14ac:dyDescent="0.3">
      <c r="A212">
        <v>211</v>
      </c>
      <c r="B212">
        <v>12</v>
      </c>
      <c r="C212">
        <v>102</v>
      </c>
      <c r="D212" s="6">
        <v>42576</v>
      </c>
      <c r="E212" t="str">
        <f>VLOOKUP(B212,[1]pivottables!$F$2:$G$52,2,0)</f>
        <v>FRA</v>
      </c>
      <c r="F212">
        <v>2</v>
      </c>
      <c r="G212">
        <f>VLOOKUP(C212,[1]products!$B$2:$E$27,4,0)</f>
        <v>14.94</v>
      </c>
      <c r="H212">
        <f t="shared" si="3"/>
        <v>29.88</v>
      </c>
    </row>
    <row r="213" spans="1:8" x14ac:dyDescent="0.3">
      <c r="A213">
        <v>212</v>
      </c>
      <c r="B213">
        <v>44</v>
      </c>
      <c r="C213">
        <v>118</v>
      </c>
      <c r="D213" s="6">
        <v>42100</v>
      </c>
      <c r="E213" t="str">
        <f>VLOOKUP(B213,[1]pivottables!$F$2:$G$52,2,0)</f>
        <v>CHN</v>
      </c>
      <c r="F213">
        <v>2</v>
      </c>
      <c r="G213">
        <f>VLOOKUP(C213,[1]products!$B$2:$E$27,4,0)</f>
        <v>56.48</v>
      </c>
      <c r="H213">
        <f t="shared" si="3"/>
        <v>112.96</v>
      </c>
    </row>
    <row r="214" spans="1:8" x14ac:dyDescent="0.3">
      <c r="A214">
        <v>213</v>
      </c>
      <c r="B214">
        <v>37</v>
      </c>
      <c r="C214">
        <v>115</v>
      </c>
      <c r="D214" s="6">
        <v>43076</v>
      </c>
      <c r="E214" t="str">
        <f>VLOOKUP(B214,[1]pivottables!$F$2:$G$52,2,0)</f>
        <v>GBR</v>
      </c>
      <c r="F214">
        <v>5</v>
      </c>
      <c r="G214">
        <f>VLOOKUP(C214,[1]products!$B$2:$E$27,4,0)</f>
        <v>22.55</v>
      </c>
      <c r="H214">
        <f t="shared" si="3"/>
        <v>112.75</v>
      </c>
    </row>
    <row r="215" spans="1:8" x14ac:dyDescent="0.3">
      <c r="A215">
        <v>214</v>
      </c>
      <c r="B215">
        <v>30</v>
      </c>
      <c r="C215">
        <v>114</v>
      </c>
      <c r="D215" s="6">
        <v>42267</v>
      </c>
      <c r="E215" t="str">
        <f>VLOOKUP(B215,[1]pivottables!$F$2:$G$52,2,0)</f>
        <v>FRA</v>
      </c>
      <c r="F215">
        <v>2</v>
      </c>
      <c r="G215">
        <f>VLOOKUP(C215,[1]products!$B$2:$E$27,4,0)</f>
        <v>74.38</v>
      </c>
      <c r="H215">
        <f t="shared" si="3"/>
        <v>148.76</v>
      </c>
    </row>
    <row r="216" spans="1:8" x14ac:dyDescent="0.3">
      <c r="A216">
        <v>215</v>
      </c>
      <c r="B216">
        <v>43</v>
      </c>
      <c r="C216">
        <v>101</v>
      </c>
      <c r="D216" s="6">
        <v>42664</v>
      </c>
      <c r="E216" t="str">
        <f>VLOOKUP(B216,[1]pivottables!$F$2:$G$52,2,0)</f>
        <v>FRA</v>
      </c>
      <c r="F216">
        <v>1</v>
      </c>
      <c r="G216">
        <f>VLOOKUP(C216,[1]products!$B$2:$E$27,4,0)</f>
        <v>108.61</v>
      </c>
      <c r="H216">
        <f t="shared" si="3"/>
        <v>108.61</v>
      </c>
    </row>
    <row r="217" spans="1:8" x14ac:dyDescent="0.3">
      <c r="A217">
        <v>216</v>
      </c>
      <c r="B217">
        <v>22</v>
      </c>
      <c r="C217">
        <v>113</v>
      </c>
      <c r="D217" s="6">
        <v>42853</v>
      </c>
      <c r="E217" t="str">
        <f>VLOOKUP(B217,[1]pivottables!$F$2:$G$52,2,0)</f>
        <v>FRA</v>
      </c>
      <c r="F217">
        <v>1</v>
      </c>
      <c r="G217">
        <f>VLOOKUP(C217,[1]products!$B$2:$E$27,4,0)</f>
        <v>9.89</v>
      </c>
      <c r="H217">
        <f t="shared" si="3"/>
        <v>9.89</v>
      </c>
    </row>
    <row r="218" spans="1:8" x14ac:dyDescent="0.3">
      <c r="A218">
        <v>217</v>
      </c>
      <c r="B218">
        <v>4</v>
      </c>
      <c r="C218">
        <v>108</v>
      </c>
      <c r="D218" s="6">
        <v>42566</v>
      </c>
      <c r="E218" t="str">
        <f>VLOOKUP(B218,[1]pivottables!$F$2:$G$52,2,0)</f>
        <v>ITA</v>
      </c>
      <c r="F218">
        <v>4</v>
      </c>
      <c r="G218">
        <f>VLOOKUP(C218,[1]products!$B$2:$E$27,4,0)</f>
        <v>137.97999999999999</v>
      </c>
      <c r="H218">
        <f t="shared" si="3"/>
        <v>551.91999999999996</v>
      </c>
    </row>
    <row r="219" spans="1:8" x14ac:dyDescent="0.3">
      <c r="A219">
        <v>218</v>
      </c>
      <c r="B219">
        <v>30</v>
      </c>
      <c r="C219">
        <v>105</v>
      </c>
      <c r="D219" s="6">
        <v>42621</v>
      </c>
      <c r="E219" t="str">
        <f>VLOOKUP(B219,[1]pivottables!$F$2:$G$52,2,0)</f>
        <v>FRA</v>
      </c>
      <c r="F219">
        <v>2</v>
      </c>
      <c r="G219">
        <f>VLOOKUP(C219,[1]products!$B$2:$E$27,4,0)</f>
        <v>149.93</v>
      </c>
      <c r="H219">
        <f t="shared" si="3"/>
        <v>299.86</v>
      </c>
    </row>
    <row r="220" spans="1:8" x14ac:dyDescent="0.3">
      <c r="A220">
        <v>219</v>
      </c>
      <c r="B220">
        <v>17</v>
      </c>
      <c r="C220">
        <v>103</v>
      </c>
      <c r="D220" s="6">
        <v>43089</v>
      </c>
      <c r="E220" t="str">
        <f>VLOOKUP(B220,[1]pivottables!$F$2:$G$52,2,0)</f>
        <v>CAN</v>
      </c>
      <c r="F220">
        <v>3</v>
      </c>
      <c r="G220">
        <f>VLOOKUP(C220,[1]products!$B$2:$E$27,4,0)</f>
        <v>108.96</v>
      </c>
      <c r="H220">
        <f t="shared" si="3"/>
        <v>326.88</v>
      </c>
    </row>
    <row r="221" spans="1:8" x14ac:dyDescent="0.3">
      <c r="A221">
        <v>220</v>
      </c>
      <c r="B221">
        <v>15</v>
      </c>
      <c r="C221">
        <v>125</v>
      </c>
      <c r="D221" s="6">
        <v>42907</v>
      </c>
      <c r="E221" t="str">
        <f>VLOOKUP(B221,[1]pivottables!$F$2:$G$52,2,0)</f>
        <v>HUN</v>
      </c>
      <c r="F221">
        <v>2</v>
      </c>
      <c r="G221">
        <f>VLOOKUP(C221,[1]products!$B$2:$E$27,4,0)</f>
        <v>90.44</v>
      </c>
      <c r="H221">
        <f t="shared" si="3"/>
        <v>180.88</v>
      </c>
    </row>
    <row r="222" spans="1:8" x14ac:dyDescent="0.3">
      <c r="A222">
        <v>221</v>
      </c>
      <c r="B222">
        <v>3</v>
      </c>
      <c r="C222">
        <v>100</v>
      </c>
      <c r="D222" s="6">
        <v>42353</v>
      </c>
      <c r="E222" t="str">
        <f>VLOOKUP(B222,[1]pivottables!$F$2:$G$52,2,0)</f>
        <v>NLD</v>
      </c>
      <c r="F222">
        <v>1</v>
      </c>
      <c r="G222">
        <f>VLOOKUP(C222,[1]products!$B$2:$E$27,4,0)</f>
        <v>30.29</v>
      </c>
      <c r="H222">
        <f t="shared" si="3"/>
        <v>30.29</v>
      </c>
    </row>
    <row r="223" spans="1:8" x14ac:dyDescent="0.3">
      <c r="A223">
        <v>222</v>
      </c>
      <c r="B223">
        <v>17</v>
      </c>
      <c r="C223">
        <v>111</v>
      </c>
      <c r="D223" s="6">
        <v>42038</v>
      </c>
      <c r="E223" t="str">
        <f>VLOOKUP(B223,[1]pivottables!$F$2:$G$52,2,0)</f>
        <v>CAN</v>
      </c>
      <c r="F223">
        <v>1</v>
      </c>
      <c r="G223">
        <f>VLOOKUP(C223,[1]products!$B$2:$E$27,4,0)</f>
        <v>149.93</v>
      </c>
      <c r="H223">
        <f t="shared" si="3"/>
        <v>149.93</v>
      </c>
    </row>
    <row r="224" spans="1:8" x14ac:dyDescent="0.3">
      <c r="A224">
        <v>223</v>
      </c>
      <c r="B224">
        <v>1</v>
      </c>
      <c r="C224">
        <v>125</v>
      </c>
      <c r="D224" s="6">
        <v>43058</v>
      </c>
      <c r="E224" t="str">
        <f>VLOOKUP(B224,[1]pivottables!$F$2:$G$52,2,0)</f>
        <v>FRA</v>
      </c>
      <c r="F224">
        <v>3</v>
      </c>
      <c r="G224">
        <f>VLOOKUP(C224,[1]products!$B$2:$E$27,4,0)</f>
        <v>90.44</v>
      </c>
      <c r="H224">
        <f t="shared" si="3"/>
        <v>271.32</v>
      </c>
    </row>
    <row r="225" spans="1:8" x14ac:dyDescent="0.3">
      <c r="A225">
        <v>224</v>
      </c>
      <c r="B225">
        <v>27</v>
      </c>
      <c r="C225">
        <v>119</v>
      </c>
      <c r="D225" s="6">
        <v>43048</v>
      </c>
      <c r="E225" t="str">
        <f>VLOOKUP(B225,[1]pivottables!$F$2:$G$52,2,0)</f>
        <v>ITA</v>
      </c>
      <c r="F225">
        <v>1</v>
      </c>
      <c r="G225">
        <f>VLOOKUP(C225,[1]products!$B$2:$E$27,4,0)</f>
        <v>74.55</v>
      </c>
      <c r="H225">
        <f t="shared" si="3"/>
        <v>74.55</v>
      </c>
    </row>
    <row r="226" spans="1:8" x14ac:dyDescent="0.3">
      <c r="A226">
        <v>225</v>
      </c>
      <c r="B226">
        <v>26</v>
      </c>
      <c r="C226">
        <v>124</v>
      </c>
      <c r="D226" s="6">
        <v>42875</v>
      </c>
      <c r="E226" t="str">
        <f>VLOOKUP(B226,[1]pivottables!$F$2:$G$52,2,0)</f>
        <v>NLD</v>
      </c>
      <c r="F226">
        <v>2</v>
      </c>
      <c r="G226">
        <f>VLOOKUP(C226,[1]products!$B$2:$E$27,4,0)</f>
        <v>108.54</v>
      </c>
      <c r="H226">
        <f t="shared" si="3"/>
        <v>217.08</v>
      </c>
    </row>
    <row r="227" spans="1:8" x14ac:dyDescent="0.3">
      <c r="A227">
        <v>226</v>
      </c>
      <c r="B227">
        <v>9</v>
      </c>
      <c r="C227">
        <v>117</v>
      </c>
      <c r="D227" s="6">
        <v>42203</v>
      </c>
      <c r="E227" t="str">
        <f>VLOOKUP(B227,[1]pivottables!$F$2:$G$52,2,0)</f>
        <v>HUN</v>
      </c>
      <c r="F227">
        <v>2</v>
      </c>
      <c r="G227">
        <f>VLOOKUP(C227,[1]products!$B$2:$E$27,4,0)</f>
        <v>47.38</v>
      </c>
      <c r="H227">
        <f t="shared" si="3"/>
        <v>94.76</v>
      </c>
    </row>
    <row r="228" spans="1:8" x14ac:dyDescent="0.3">
      <c r="A228">
        <v>227</v>
      </c>
      <c r="B228">
        <v>34</v>
      </c>
      <c r="C228">
        <v>119</v>
      </c>
      <c r="D228" s="6">
        <v>42481</v>
      </c>
      <c r="E228" t="str">
        <f>VLOOKUP(B228,[1]pivottables!$F$2:$G$52,2,0)</f>
        <v>CAN</v>
      </c>
      <c r="F228">
        <v>5</v>
      </c>
      <c r="G228">
        <f>VLOOKUP(C228,[1]products!$B$2:$E$27,4,0)</f>
        <v>74.55</v>
      </c>
      <c r="H228">
        <f t="shared" si="3"/>
        <v>372.75</v>
      </c>
    </row>
    <row r="229" spans="1:8" x14ac:dyDescent="0.3">
      <c r="A229">
        <v>228</v>
      </c>
      <c r="B229">
        <v>19</v>
      </c>
      <c r="C229">
        <v>109</v>
      </c>
      <c r="D229" s="6">
        <v>42049</v>
      </c>
      <c r="E229" t="str">
        <f>VLOOKUP(B229,[1]pivottables!$F$2:$G$52,2,0)</f>
        <v>NLD</v>
      </c>
      <c r="F229">
        <v>1</v>
      </c>
      <c r="G229">
        <f>VLOOKUP(C229,[1]products!$B$2:$E$27,4,0)</f>
        <v>143.97999999999999</v>
      </c>
      <c r="H229">
        <f t="shared" si="3"/>
        <v>143.97999999999999</v>
      </c>
    </row>
    <row r="230" spans="1:8" x14ac:dyDescent="0.3">
      <c r="A230">
        <v>229</v>
      </c>
      <c r="B230">
        <v>22</v>
      </c>
      <c r="C230">
        <v>117</v>
      </c>
      <c r="D230" s="6">
        <v>42643</v>
      </c>
      <c r="E230" t="str">
        <f>VLOOKUP(B230,[1]pivottables!$F$2:$G$52,2,0)</f>
        <v>FRA</v>
      </c>
      <c r="F230">
        <v>4</v>
      </c>
      <c r="G230">
        <f>VLOOKUP(C230,[1]products!$B$2:$E$27,4,0)</f>
        <v>47.38</v>
      </c>
      <c r="H230">
        <f t="shared" si="3"/>
        <v>189.52</v>
      </c>
    </row>
    <row r="231" spans="1:8" x14ac:dyDescent="0.3">
      <c r="A231">
        <v>230</v>
      </c>
      <c r="B231">
        <v>43</v>
      </c>
      <c r="C231">
        <v>122</v>
      </c>
      <c r="D231" s="6">
        <v>42374</v>
      </c>
      <c r="E231" t="str">
        <f>VLOOKUP(B231,[1]pivottables!$F$2:$G$52,2,0)</f>
        <v>FRA</v>
      </c>
      <c r="F231">
        <v>3</v>
      </c>
      <c r="G231">
        <f>VLOOKUP(C231,[1]products!$B$2:$E$27,4,0)</f>
        <v>32.64</v>
      </c>
      <c r="H231">
        <f t="shared" si="3"/>
        <v>97.92</v>
      </c>
    </row>
    <row r="232" spans="1:8" x14ac:dyDescent="0.3">
      <c r="A232">
        <v>231</v>
      </c>
      <c r="B232">
        <v>49</v>
      </c>
      <c r="C232">
        <v>107</v>
      </c>
      <c r="D232" s="6">
        <v>42246</v>
      </c>
      <c r="E232" t="str">
        <f>VLOOKUP(B232,[1]pivottables!$F$2:$G$52,2,0)</f>
        <v>JPN</v>
      </c>
      <c r="F232">
        <v>4</v>
      </c>
      <c r="G232">
        <f>VLOOKUP(C232,[1]products!$B$2:$E$27,4,0)</f>
        <v>43.1</v>
      </c>
      <c r="H232">
        <f t="shared" si="3"/>
        <v>172.4</v>
      </c>
    </row>
    <row r="233" spans="1:8" x14ac:dyDescent="0.3">
      <c r="A233">
        <v>232</v>
      </c>
      <c r="B233">
        <v>49</v>
      </c>
      <c r="C233">
        <v>123</v>
      </c>
      <c r="D233" s="6">
        <v>42235</v>
      </c>
      <c r="E233" t="str">
        <f>VLOOKUP(B233,[1]pivottables!$F$2:$G$52,2,0)</f>
        <v>JPN</v>
      </c>
      <c r="F233">
        <v>3</v>
      </c>
      <c r="G233">
        <f>VLOOKUP(C233,[1]products!$B$2:$E$27,4,0)</f>
        <v>39.67</v>
      </c>
      <c r="H233">
        <f t="shared" si="3"/>
        <v>119.01</v>
      </c>
    </row>
    <row r="234" spans="1:8" x14ac:dyDescent="0.3">
      <c r="A234">
        <v>233</v>
      </c>
      <c r="B234">
        <v>35</v>
      </c>
      <c r="C234">
        <v>119</v>
      </c>
      <c r="D234" s="6">
        <v>42032</v>
      </c>
      <c r="E234" t="str">
        <f>VLOOKUP(B234,[1]pivottables!$F$2:$G$52,2,0)</f>
        <v>JPN</v>
      </c>
      <c r="F234">
        <v>2</v>
      </c>
      <c r="G234">
        <f>VLOOKUP(C234,[1]products!$B$2:$E$27,4,0)</f>
        <v>74.55</v>
      </c>
      <c r="H234">
        <f t="shared" si="3"/>
        <v>149.1</v>
      </c>
    </row>
    <row r="235" spans="1:8" x14ac:dyDescent="0.3">
      <c r="A235">
        <v>234</v>
      </c>
      <c r="B235">
        <v>47</v>
      </c>
      <c r="C235">
        <v>111</v>
      </c>
      <c r="D235" s="6">
        <v>43100</v>
      </c>
      <c r="E235" t="str">
        <f>VLOOKUP(B235,[1]pivottables!$F$2:$G$52,2,0)</f>
        <v>CHN</v>
      </c>
      <c r="F235">
        <v>5</v>
      </c>
      <c r="G235">
        <f>VLOOKUP(C235,[1]products!$B$2:$E$27,4,0)</f>
        <v>149.93</v>
      </c>
      <c r="H235">
        <f t="shared" si="3"/>
        <v>749.65000000000009</v>
      </c>
    </row>
    <row r="236" spans="1:8" x14ac:dyDescent="0.3">
      <c r="A236">
        <v>235</v>
      </c>
      <c r="B236">
        <v>50</v>
      </c>
      <c r="C236">
        <v>118</v>
      </c>
      <c r="D236" s="6">
        <v>42867</v>
      </c>
      <c r="E236" t="str">
        <f>VLOOKUP(B236,[1]pivottables!$F$2:$G$52,2,0)</f>
        <v>NLD</v>
      </c>
      <c r="F236">
        <v>3</v>
      </c>
      <c r="G236">
        <f>VLOOKUP(C236,[1]products!$B$2:$E$27,4,0)</f>
        <v>56.48</v>
      </c>
      <c r="H236">
        <f t="shared" si="3"/>
        <v>169.44</v>
      </c>
    </row>
    <row r="237" spans="1:8" x14ac:dyDescent="0.3">
      <c r="A237">
        <v>236</v>
      </c>
      <c r="B237">
        <v>26</v>
      </c>
      <c r="C237">
        <v>115</v>
      </c>
      <c r="D237" s="6">
        <v>42893</v>
      </c>
      <c r="E237" t="str">
        <f>VLOOKUP(B237,[1]pivottables!$F$2:$G$52,2,0)</f>
        <v>NLD</v>
      </c>
      <c r="F237">
        <v>5</v>
      </c>
      <c r="G237">
        <f>VLOOKUP(C237,[1]products!$B$2:$E$27,4,0)</f>
        <v>22.55</v>
      </c>
      <c r="H237">
        <f t="shared" si="3"/>
        <v>112.75</v>
      </c>
    </row>
    <row r="238" spans="1:8" x14ac:dyDescent="0.3">
      <c r="A238">
        <v>237</v>
      </c>
      <c r="B238">
        <v>21</v>
      </c>
      <c r="C238">
        <v>120</v>
      </c>
      <c r="D238" s="6">
        <v>42905</v>
      </c>
      <c r="E238" t="str">
        <f>VLOOKUP(B238,[1]pivottables!$F$2:$G$52,2,0)</f>
        <v>HUN</v>
      </c>
      <c r="F238">
        <v>5</v>
      </c>
      <c r="G238">
        <f>VLOOKUP(C238,[1]products!$B$2:$E$27,4,0)</f>
        <v>17.13</v>
      </c>
      <c r="H238">
        <f t="shared" si="3"/>
        <v>85.649999999999991</v>
      </c>
    </row>
    <row r="239" spans="1:8" x14ac:dyDescent="0.3">
      <c r="A239">
        <v>238</v>
      </c>
      <c r="B239">
        <v>32</v>
      </c>
      <c r="C239">
        <v>124</v>
      </c>
      <c r="D239" s="6">
        <v>42432</v>
      </c>
      <c r="E239" t="str">
        <f>VLOOKUP(B239,[1]pivottables!$F$2:$G$52,2,0)</f>
        <v>NLD</v>
      </c>
      <c r="F239">
        <v>1</v>
      </c>
      <c r="G239">
        <f>VLOOKUP(C239,[1]products!$B$2:$E$27,4,0)</f>
        <v>108.54</v>
      </c>
      <c r="H239">
        <f t="shared" si="3"/>
        <v>108.54</v>
      </c>
    </row>
    <row r="240" spans="1:8" x14ac:dyDescent="0.3">
      <c r="A240">
        <v>239</v>
      </c>
      <c r="B240">
        <v>6</v>
      </c>
      <c r="C240">
        <v>100</v>
      </c>
      <c r="D240" s="6">
        <v>42311</v>
      </c>
      <c r="E240" t="str">
        <f>VLOOKUP(B240,[1]pivottables!$F$2:$G$52,2,0)</f>
        <v>CAN</v>
      </c>
      <c r="F240">
        <v>3</v>
      </c>
      <c r="G240">
        <f>VLOOKUP(C240,[1]products!$B$2:$E$27,4,0)</f>
        <v>30.29</v>
      </c>
      <c r="H240">
        <f t="shared" si="3"/>
        <v>90.87</v>
      </c>
    </row>
    <row r="241" spans="1:8" x14ac:dyDescent="0.3">
      <c r="A241">
        <v>240</v>
      </c>
      <c r="B241">
        <v>3</v>
      </c>
      <c r="C241">
        <v>105</v>
      </c>
      <c r="D241" s="6">
        <v>42943</v>
      </c>
      <c r="E241" t="str">
        <f>VLOOKUP(B241,[1]pivottables!$F$2:$G$52,2,0)</f>
        <v>NLD</v>
      </c>
      <c r="F241">
        <v>2</v>
      </c>
      <c r="G241">
        <f>VLOOKUP(C241,[1]products!$B$2:$E$27,4,0)</f>
        <v>149.93</v>
      </c>
      <c r="H241">
        <f t="shared" si="3"/>
        <v>299.86</v>
      </c>
    </row>
    <row r="242" spans="1:8" x14ac:dyDescent="0.3">
      <c r="A242">
        <v>241</v>
      </c>
      <c r="B242">
        <v>50</v>
      </c>
      <c r="C242">
        <v>116</v>
      </c>
      <c r="D242" s="6">
        <v>42702</v>
      </c>
      <c r="E242" t="str">
        <f>VLOOKUP(B242,[1]pivottables!$F$2:$G$52,2,0)</f>
        <v>NLD</v>
      </c>
      <c r="F242">
        <v>4</v>
      </c>
      <c r="G242">
        <f>VLOOKUP(C242,[1]products!$B$2:$E$27,4,0)</f>
        <v>137.19999999999999</v>
      </c>
      <c r="H242">
        <f t="shared" si="3"/>
        <v>548.79999999999995</v>
      </c>
    </row>
    <row r="243" spans="1:8" x14ac:dyDescent="0.3">
      <c r="A243">
        <v>242</v>
      </c>
      <c r="B243">
        <v>8</v>
      </c>
      <c r="C243">
        <v>117</v>
      </c>
      <c r="D243" s="6">
        <v>42120</v>
      </c>
      <c r="E243" t="str">
        <f>VLOOKUP(B243,[1]pivottables!$F$2:$G$52,2,0)</f>
        <v>CZE</v>
      </c>
      <c r="F243">
        <v>3</v>
      </c>
      <c r="G243">
        <f>VLOOKUP(C243,[1]products!$B$2:$E$27,4,0)</f>
        <v>47.38</v>
      </c>
      <c r="H243">
        <f t="shared" si="3"/>
        <v>142.14000000000001</v>
      </c>
    </row>
    <row r="244" spans="1:8" x14ac:dyDescent="0.3">
      <c r="A244">
        <v>243</v>
      </c>
      <c r="B244">
        <v>32</v>
      </c>
      <c r="C244">
        <v>118</v>
      </c>
      <c r="D244" s="6">
        <v>42963</v>
      </c>
      <c r="E244" t="str">
        <f>VLOOKUP(B244,[1]pivottables!$F$2:$G$52,2,0)</f>
        <v>NLD</v>
      </c>
      <c r="F244">
        <v>4</v>
      </c>
      <c r="G244">
        <f>VLOOKUP(C244,[1]products!$B$2:$E$27,4,0)</f>
        <v>56.48</v>
      </c>
      <c r="H244">
        <f t="shared" si="3"/>
        <v>225.92</v>
      </c>
    </row>
    <row r="245" spans="1:8" x14ac:dyDescent="0.3">
      <c r="A245">
        <v>244</v>
      </c>
      <c r="B245">
        <v>32</v>
      </c>
      <c r="C245">
        <v>121</v>
      </c>
      <c r="D245" s="6">
        <v>42495</v>
      </c>
      <c r="E245" t="str">
        <f>VLOOKUP(B245,[1]pivottables!$F$2:$G$52,2,0)</f>
        <v>NLD</v>
      </c>
      <c r="F245">
        <v>2</v>
      </c>
      <c r="G245">
        <f>VLOOKUP(C245,[1]products!$B$2:$E$27,4,0)</f>
        <v>49.09</v>
      </c>
      <c r="H245">
        <f t="shared" si="3"/>
        <v>98.18</v>
      </c>
    </row>
    <row r="246" spans="1:8" x14ac:dyDescent="0.3">
      <c r="A246">
        <v>245</v>
      </c>
      <c r="B246">
        <v>30</v>
      </c>
      <c r="C246">
        <v>122</v>
      </c>
      <c r="D246" s="6">
        <v>42465</v>
      </c>
      <c r="E246" t="str">
        <f>VLOOKUP(B246,[1]pivottables!$F$2:$G$52,2,0)</f>
        <v>FRA</v>
      </c>
      <c r="F246">
        <v>4</v>
      </c>
      <c r="G246">
        <f>VLOOKUP(C246,[1]products!$B$2:$E$27,4,0)</f>
        <v>32.64</v>
      </c>
      <c r="H246">
        <f t="shared" si="3"/>
        <v>130.56</v>
      </c>
    </row>
    <row r="247" spans="1:8" x14ac:dyDescent="0.3">
      <c r="A247">
        <v>246</v>
      </c>
      <c r="B247">
        <v>8</v>
      </c>
      <c r="C247">
        <v>119</v>
      </c>
      <c r="D247" s="6">
        <v>42428</v>
      </c>
      <c r="E247" t="str">
        <f>VLOOKUP(B247,[1]pivottables!$F$2:$G$52,2,0)</f>
        <v>CZE</v>
      </c>
      <c r="F247">
        <v>2</v>
      </c>
      <c r="G247">
        <f>VLOOKUP(C247,[1]products!$B$2:$E$27,4,0)</f>
        <v>74.55</v>
      </c>
      <c r="H247">
        <f t="shared" si="3"/>
        <v>149.1</v>
      </c>
    </row>
    <row r="248" spans="1:8" x14ac:dyDescent="0.3">
      <c r="A248">
        <v>247</v>
      </c>
      <c r="B248">
        <v>15</v>
      </c>
      <c r="C248">
        <v>101</v>
      </c>
      <c r="D248" s="6">
        <v>42900</v>
      </c>
      <c r="E248" t="str">
        <f>VLOOKUP(B248,[1]pivottables!$F$2:$G$52,2,0)</f>
        <v>HUN</v>
      </c>
      <c r="F248">
        <v>5</v>
      </c>
      <c r="G248">
        <f>VLOOKUP(C248,[1]products!$B$2:$E$27,4,0)</f>
        <v>108.61</v>
      </c>
      <c r="H248">
        <f t="shared" si="3"/>
        <v>543.04999999999995</v>
      </c>
    </row>
    <row r="249" spans="1:8" x14ac:dyDescent="0.3">
      <c r="A249">
        <v>248</v>
      </c>
      <c r="B249">
        <v>36</v>
      </c>
      <c r="C249">
        <v>124</v>
      </c>
      <c r="D249" s="6">
        <v>43012</v>
      </c>
      <c r="E249" t="str">
        <f>VLOOKUP(B249,[1]pivottables!$F$2:$G$52,2,0)</f>
        <v>FRA</v>
      </c>
      <c r="F249">
        <v>4</v>
      </c>
      <c r="G249">
        <f>VLOOKUP(C249,[1]products!$B$2:$E$27,4,0)</f>
        <v>108.54</v>
      </c>
      <c r="H249">
        <f t="shared" si="3"/>
        <v>434.16</v>
      </c>
    </row>
    <row r="250" spans="1:8" x14ac:dyDescent="0.3">
      <c r="A250">
        <v>249</v>
      </c>
      <c r="B250">
        <v>20</v>
      </c>
      <c r="C250">
        <v>112</v>
      </c>
      <c r="D250" s="6">
        <v>42209</v>
      </c>
      <c r="E250" t="str">
        <f>VLOOKUP(B250,[1]pivottables!$F$2:$G$52,2,0)</f>
        <v>FRA</v>
      </c>
      <c r="F250">
        <v>1</v>
      </c>
      <c r="G250">
        <f>VLOOKUP(C250,[1]products!$B$2:$E$27,4,0)</f>
        <v>106.3</v>
      </c>
      <c r="H250">
        <f t="shared" si="3"/>
        <v>106.3</v>
      </c>
    </row>
    <row r="251" spans="1:8" x14ac:dyDescent="0.3">
      <c r="A251">
        <v>250</v>
      </c>
      <c r="B251">
        <v>22</v>
      </c>
      <c r="C251">
        <v>123</v>
      </c>
      <c r="D251" s="6">
        <v>42709</v>
      </c>
      <c r="E251" t="str">
        <f>VLOOKUP(B251,[1]pivottables!$F$2:$G$52,2,0)</f>
        <v>FRA</v>
      </c>
      <c r="F251">
        <v>5</v>
      </c>
      <c r="G251">
        <f>VLOOKUP(C251,[1]products!$B$2:$E$27,4,0)</f>
        <v>39.67</v>
      </c>
      <c r="H251">
        <f t="shared" si="3"/>
        <v>198.35000000000002</v>
      </c>
    </row>
    <row r="252" spans="1:8" x14ac:dyDescent="0.3">
      <c r="A252">
        <v>251</v>
      </c>
      <c r="B252">
        <v>20</v>
      </c>
      <c r="C252">
        <v>113</v>
      </c>
      <c r="D252" s="6">
        <v>42674</v>
      </c>
      <c r="E252" t="str">
        <f>VLOOKUP(B252,[1]pivottables!$F$2:$G$52,2,0)</f>
        <v>FRA</v>
      </c>
      <c r="F252">
        <v>4</v>
      </c>
      <c r="G252">
        <f>VLOOKUP(C252,[1]products!$B$2:$E$27,4,0)</f>
        <v>9.89</v>
      </c>
      <c r="H252">
        <f t="shared" si="3"/>
        <v>39.56</v>
      </c>
    </row>
    <row r="253" spans="1:8" x14ac:dyDescent="0.3">
      <c r="A253">
        <v>252</v>
      </c>
      <c r="B253">
        <v>11</v>
      </c>
      <c r="C253">
        <v>121</v>
      </c>
      <c r="D253" s="6">
        <v>43091</v>
      </c>
      <c r="E253" t="str">
        <f>VLOOKUP(B253,[1]pivottables!$F$2:$G$52,2,0)</f>
        <v>ITA</v>
      </c>
      <c r="F253">
        <v>3</v>
      </c>
      <c r="G253">
        <f>VLOOKUP(C253,[1]products!$B$2:$E$27,4,0)</f>
        <v>49.09</v>
      </c>
      <c r="H253">
        <f t="shared" si="3"/>
        <v>147.27000000000001</v>
      </c>
    </row>
    <row r="254" spans="1:8" x14ac:dyDescent="0.3">
      <c r="A254">
        <v>253</v>
      </c>
      <c r="B254">
        <v>4</v>
      </c>
      <c r="C254">
        <v>120</v>
      </c>
      <c r="D254" s="6">
        <v>43061</v>
      </c>
      <c r="E254" t="str">
        <f>VLOOKUP(B254,[1]pivottables!$F$2:$G$52,2,0)</f>
        <v>ITA</v>
      </c>
      <c r="F254">
        <v>2</v>
      </c>
      <c r="G254">
        <f>VLOOKUP(C254,[1]products!$B$2:$E$27,4,0)</f>
        <v>17.13</v>
      </c>
      <c r="H254">
        <f t="shared" si="3"/>
        <v>34.26</v>
      </c>
    </row>
    <row r="255" spans="1:8" x14ac:dyDescent="0.3">
      <c r="A255">
        <v>254</v>
      </c>
      <c r="B255">
        <v>41</v>
      </c>
      <c r="C255">
        <v>110</v>
      </c>
      <c r="D255" s="6">
        <v>42879</v>
      </c>
      <c r="E255" t="str">
        <f>VLOOKUP(B255,[1]pivottables!$F$2:$G$52,2,0)</f>
        <v>FRA</v>
      </c>
      <c r="F255">
        <v>3</v>
      </c>
      <c r="G255">
        <f>VLOOKUP(C255,[1]products!$B$2:$E$27,4,0)</f>
        <v>10.76</v>
      </c>
      <c r="H255">
        <f t="shared" si="3"/>
        <v>32.28</v>
      </c>
    </row>
    <row r="256" spans="1:8" x14ac:dyDescent="0.3">
      <c r="A256">
        <v>255</v>
      </c>
      <c r="B256">
        <v>11</v>
      </c>
      <c r="C256">
        <v>125</v>
      </c>
      <c r="D256" s="6">
        <v>43076</v>
      </c>
      <c r="E256" t="str">
        <f>VLOOKUP(B256,[1]pivottables!$F$2:$G$52,2,0)</f>
        <v>ITA</v>
      </c>
      <c r="F256">
        <v>2</v>
      </c>
      <c r="G256">
        <f>VLOOKUP(C256,[1]products!$B$2:$E$27,4,0)</f>
        <v>90.44</v>
      </c>
      <c r="H256">
        <f t="shared" si="3"/>
        <v>180.88</v>
      </c>
    </row>
    <row r="257" spans="1:8" x14ac:dyDescent="0.3">
      <c r="A257">
        <v>256</v>
      </c>
      <c r="B257">
        <v>3</v>
      </c>
      <c r="C257">
        <v>106</v>
      </c>
      <c r="D257" s="6">
        <v>42143</v>
      </c>
      <c r="E257" t="str">
        <f>VLOOKUP(B257,[1]pivottables!$F$2:$G$52,2,0)</f>
        <v>NLD</v>
      </c>
      <c r="F257">
        <v>3</v>
      </c>
      <c r="G257">
        <f>VLOOKUP(C257,[1]products!$B$2:$E$27,4,0)</f>
        <v>132.88</v>
      </c>
      <c r="H257">
        <f t="shared" si="3"/>
        <v>398.64</v>
      </c>
    </row>
    <row r="258" spans="1:8" x14ac:dyDescent="0.3">
      <c r="A258">
        <v>257</v>
      </c>
      <c r="B258">
        <v>45</v>
      </c>
      <c r="C258">
        <v>113</v>
      </c>
      <c r="D258" s="6">
        <v>42597</v>
      </c>
      <c r="E258" t="str">
        <f>VLOOKUP(B258,[1]pivottables!$F$2:$G$52,2,0)</f>
        <v>NLD</v>
      </c>
      <c r="F258">
        <v>3</v>
      </c>
      <c r="G258">
        <f>VLOOKUP(C258,[1]products!$B$2:$E$27,4,0)</f>
        <v>9.89</v>
      </c>
      <c r="H258">
        <f t="shared" si="3"/>
        <v>29.67</v>
      </c>
    </row>
    <row r="259" spans="1:8" x14ac:dyDescent="0.3">
      <c r="A259">
        <v>258</v>
      </c>
      <c r="B259">
        <v>32</v>
      </c>
      <c r="C259">
        <v>121</v>
      </c>
      <c r="D259" s="6">
        <v>42021</v>
      </c>
      <c r="E259" t="str">
        <f>VLOOKUP(B259,[1]pivottables!$F$2:$G$52,2,0)</f>
        <v>NLD</v>
      </c>
      <c r="F259">
        <v>1</v>
      </c>
      <c r="G259">
        <f>VLOOKUP(C259,[1]products!$B$2:$E$27,4,0)</f>
        <v>49.09</v>
      </c>
      <c r="H259">
        <f t="shared" ref="H259:H322" si="4">G259*F259</f>
        <v>49.09</v>
      </c>
    </row>
    <row r="260" spans="1:8" x14ac:dyDescent="0.3">
      <c r="A260">
        <v>259</v>
      </c>
      <c r="B260">
        <v>1</v>
      </c>
      <c r="C260">
        <v>109</v>
      </c>
      <c r="D260" s="6">
        <v>42363</v>
      </c>
      <c r="E260" t="str">
        <f>VLOOKUP(B260,[1]pivottables!$F$2:$G$52,2,0)</f>
        <v>FRA</v>
      </c>
      <c r="F260">
        <v>4</v>
      </c>
      <c r="G260">
        <f>VLOOKUP(C260,[1]products!$B$2:$E$27,4,0)</f>
        <v>143.97999999999999</v>
      </c>
      <c r="H260">
        <f t="shared" si="4"/>
        <v>575.91999999999996</v>
      </c>
    </row>
    <row r="261" spans="1:8" x14ac:dyDescent="0.3">
      <c r="A261">
        <v>260</v>
      </c>
      <c r="B261">
        <v>43</v>
      </c>
      <c r="C261">
        <v>113</v>
      </c>
      <c r="D261" s="6">
        <v>42429</v>
      </c>
      <c r="E261" t="str">
        <f>VLOOKUP(B261,[1]pivottables!$F$2:$G$52,2,0)</f>
        <v>FRA</v>
      </c>
      <c r="F261">
        <v>4</v>
      </c>
      <c r="G261">
        <f>VLOOKUP(C261,[1]products!$B$2:$E$27,4,0)</f>
        <v>9.89</v>
      </c>
      <c r="H261">
        <f t="shared" si="4"/>
        <v>39.56</v>
      </c>
    </row>
    <row r="262" spans="1:8" x14ac:dyDescent="0.3">
      <c r="A262">
        <v>261</v>
      </c>
      <c r="B262">
        <v>36</v>
      </c>
      <c r="C262">
        <v>118</v>
      </c>
      <c r="D262" s="6">
        <v>43014</v>
      </c>
      <c r="E262" t="str">
        <f>VLOOKUP(B262,[1]pivottables!$F$2:$G$52,2,0)</f>
        <v>FRA</v>
      </c>
      <c r="F262">
        <v>3</v>
      </c>
      <c r="G262">
        <f>VLOOKUP(C262,[1]products!$B$2:$E$27,4,0)</f>
        <v>56.48</v>
      </c>
      <c r="H262">
        <f t="shared" si="4"/>
        <v>169.44</v>
      </c>
    </row>
    <row r="263" spans="1:8" x14ac:dyDescent="0.3">
      <c r="A263">
        <v>262</v>
      </c>
      <c r="B263">
        <v>6</v>
      </c>
      <c r="C263">
        <v>110</v>
      </c>
      <c r="D263" s="6">
        <v>42681</v>
      </c>
      <c r="E263" t="str">
        <f>VLOOKUP(B263,[1]pivottables!$F$2:$G$52,2,0)</f>
        <v>CAN</v>
      </c>
      <c r="F263">
        <v>5</v>
      </c>
      <c r="G263">
        <f>VLOOKUP(C263,[1]products!$B$2:$E$27,4,0)</f>
        <v>10.76</v>
      </c>
      <c r="H263">
        <f t="shared" si="4"/>
        <v>53.8</v>
      </c>
    </row>
    <row r="264" spans="1:8" x14ac:dyDescent="0.3">
      <c r="A264">
        <v>263</v>
      </c>
      <c r="B264">
        <v>33</v>
      </c>
      <c r="C264">
        <v>114</v>
      </c>
      <c r="D264" s="6">
        <v>42899</v>
      </c>
      <c r="E264" t="str">
        <f>VLOOKUP(B264,[1]pivottables!$F$2:$G$52,2,0)</f>
        <v>NLD</v>
      </c>
      <c r="F264">
        <v>2</v>
      </c>
      <c r="G264">
        <f>VLOOKUP(C264,[1]products!$B$2:$E$27,4,0)</f>
        <v>74.38</v>
      </c>
      <c r="H264">
        <f t="shared" si="4"/>
        <v>148.76</v>
      </c>
    </row>
    <row r="265" spans="1:8" x14ac:dyDescent="0.3">
      <c r="A265">
        <v>264</v>
      </c>
      <c r="B265">
        <v>14</v>
      </c>
      <c r="C265">
        <v>115</v>
      </c>
      <c r="D265" s="6">
        <v>42068</v>
      </c>
      <c r="E265" t="str">
        <f>VLOOKUP(B265,[1]pivottables!$F$2:$G$52,2,0)</f>
        <v>CZE</v>
      </c>
      <c r="F265">
        <v>2</v>
      </c>
      <c r="G265">
        <f>VLOOKUP(C265,[1]products!$B$2:$E$27,4,0)</f>
        <v>22.55</v>
      </c>
      <c r="H265">
        <f t="shared" si="4"/>
        <v>45.1</v>
      </c>
    </row>
    <row r="266" spans="1:8" x14ac:dyDescent="0.3">
      <c r="A266">
        <v>265</v>
      </c>
      <c r="B266">
        <v>8</v>
      </c>
      <c r="C266">
        <v>125</v>
      </c>
      <c r="D266" s="6">
        <v>43045</v>
      </c>
      <c r="E266" t="str">
        <f>VLOOKUP(B266,[1]pivottables!$F$2:$G$52,2,0)</f>
        <v>CZE</v>
      </c>
      <c r="F266">
        <v>1</v>
      </c>
      <c r="G266">
        <f>VLOOKUP(C266,[1]products!$B$2:$E$27,4,0)</f>
        <v>90.44</v>
      </c>
      <c r="H266">
        <f t="shared" si="4"/>
        <v>90.44</v>
      </c>
    </row>
    <row r="267" spans="1:8" x14ac:dyDescent="0.3">
      <c r="A267">
        <v>266</v>
      </c>
      <c r="B267">
        <v>31</v>
      </c>
      <c r="C267">
        <v>125</v>
      </c>
      <c r="D267" s="6">
        <v>42598</v>
      </c>
      <c r="E267" t="str">
        <f>VLOOKUP(B267,[1]pivottables!$F$2:$G$52,2,0)</f>
        <v>GBR</v>
      </c>
      <c r="F267">
        <v>3</v>
      </c>
      <c r="G267">
        <f>VLOOKUP(C267,[1]products!$B$2:$E$27,4,0)</f>
        <v>90.44</v>
      </c>
      <c r="H267">
        <f t="shared" si="4"/>
        <v>271.32</v>
      </c>
    </row>
    <row r="268" spans="1:8" x14ac:dyDescent="0.3">
      <c r="A268">
        <v>267</v>
      </c>
      <c r="B268">
        <v>17</v>
      </c>
      <c r="C268">
        <v>102</v>
      </c>
      <c r="D268" s="6">
        <v>42418</v>
      </c>
      <c r="E268" t="str">
        <f>VLOOKUP(B268,[1]pivottables!$F$2:$G$52,2,0)</f>
        <v>CAN</v>
      </c>
      <c r="F268">
        <v>2</v>
      </c>
      <c r="G268">
        <f>VLOOKUP(C268,[1]products!$B$2:$E$27,4,0)</f>
        <v>14.94</v>
      </c>
      <c r="H268">
        <f t="shared" si="4"/>
        <v>29.88</v>
      </c>
    </row>
    <row r="269" spans="1:8" x14ac:dyDescent="0.3">
      <c r="A269">
        <v>268</v>
      </c>
      <c r="B269">
        <v>38</v>
      </c>
      <c r="C269">
        <v>103</v>
      </c>
      <c r="D269" s="6">
        <v>42322</v>
      </c>
      <c r="E269" t="str">
        <f>VLOOKUP(B269,[1]pivottables!$F$2:$G$52,2,0)</f>
        <v>USA</v>
      </c>
      <c r="F269">
        <v>2</v>
      </c>
      <c r="G269">
        <f>VLOOKUP(C269,[1]products!$B$2:$E$27,4,0)</f>
        <v>108.96</v>
      </c>
      <c r="H269">
        <f t="shared" si="4"/>
        <v>217.92</v>
      </c>
    </row>
    <row r="270" spans="1:8" x14ac:dyDescent="0.3">
      <c r="A270">
        <v>269</v>
      </c>
      <c r="B270">
        <v>47</v>
      </c>
      <c r="C270">
        <v>118</v>
      </c>
      <c r="D270" s="6">
        <v>42806</v>
      </c>
      <c r="E270" t="str">
        <f>VLOOKUP(B270,[1]pivottables!$F$2:$G$52,2,0)</f>
        <v>CHN</v>
      </c>
      <c r="F270">
        <v>4</v>
      </c>
      <c r="G270">
        <f>VLOOKUP(C270,[1]products!$B$2:$E$27,4,0)</f>
        <v>56.48</v>
      </c>
      <c r="H270">
        <f t="shared" si="4"/>
        <v>225.92</v>
      </c>
    </row>
    <row r="271" spans="1:8" x14ac:dyDescent="0.3">
      <c r="A271">
        <v>270</v>
      </c>
      <c r="B271">
        <v>45</v>
      </c>
      <c r="C271">
        <v>103</v>
      </c>
      <c r="D271" s="6">
        <v>42509</v>
      </c>
      <c r="E271" t="str">
        <f>VLOOKUP(B271,[1]pivottables!$F$2:$G$52,2,0)</f>
        <v>NLD</v>
      </c>
      <c r="F271">
        <v>5</v>
      </c>
      <c r="G271">
        <f>VLOOKUP(C271,[1]products!$B$2:$E$27,4,0)</f>
        <v>108.96</v>
      </c>
      <c r="H271">
        <f t="shared" si="4"/>
        <v>544.79999999999995</v>
      </c>
    </row>
    <row r="272" spans="1:8" x14ac:dyDescent="0.3">
      <c r="A272">
        <v>271</v>
      </c>
      <c r="B272">
        <v>4</v>
      </c>
      <c r="C272">
        <v>101</v>
      </c>
      <c r="D272" s="6">
        <v>43093</v>
      </c>
      <c r="E272" t="str">
        <f>VLOOKUP(B272,[1]pivottables!$F$2:$G$52,2,0)</f>
        <v>ITA</v>
      </c>
      <c r="F272">
        <v>3</v>
      </c>
      <c r="G272">
        <f>VLOOKUP(C272,[1]products!$B$2:$E$27,4,0)</f>
        <v>108.61</v>
      </c>
      <c r="H272">
        <f t="shared" si="4"/>
        <v>325.83</v>
      </c>
    </row>
    <row r="273" spans="1:8" x14ac:dyDescent="0.3">
      <c r="A273">
        <v>272</v>
      </c>
      <c r="B273">
        <v>22</v>
      </c>
      <c r="C273">
        <v>122</v>
      </c>
      <c r="D273" s="6">
        <v>42884</v>
      </c>
      <c r="E273" t="str">
        <f>VLOOKUP(B273,[1]pivottables!$F$2:$G$52,2,0)</f>
        <v>FRA</v>
      </c>
      <c r="F273">
        <v>2</v>
      </c>
      <c r="G273">
        <f>VLOOKUP(C273,[1]products!$B$2:$E$27,4,0)</f>
        <v>32.64</v>
      </c>
      <c r="H273">
        <f t="shared" si="4"/>
        <v>65.28</v>
      </c>
    </row>
    <row r="274" spans="1:8" x14ac:dyDescent="0.3">
      <c r="A274">
        <v>273</v>
      </c>
      <c r="B274">
        <v>39</v>
      </c>
      <c r="C274">
        <v>103</v>
      </c>
      <c r="D274" s="6">
        <v>43092</v>
      </c>
      <c r="E274" t="str">
        <f>VLOOKUP(B274,[1]pivottables!$F$2:$G$52,2,0)</f>
        <v>GBR</v>
      </c>
      <c r="F274">
        <v>5</v>
      </c>
      <c r="G274">
        <f>VLOOKUP(C274,[1]products!$B$2:$E$27,4,0)</f>
        <v>108.96</v>
      </c>
      <c r="H274">
        <f t="shared" si="4"/>
        <v>544.79999999999995</v>
      </c>
    </row>
    <row r="275" spans="1:8" x14ac:dyDescent="0.3">
      <c r="A275">
        <v>274</v>
      </c>
      <c r="B275">
        <v>1</v>
      </c>
      <c r="C275">
        <v>117</v>
      </c>
      <c r="D275" s="6">
        <v>42985</v>
      </c>
      <c r="E275" t="str">
        <f>VLOOKUP(B275,[1]pivottables!$F$2:$G$52,2,0)</f>
        <v>FRA</v>
      </c>
      <c r="F275">
        <v>2</v>
      </c>
      <c r="G275">
        <f>VLOOKUP(C275,[1]products!$B$2:$E$27,4,0)</f>
        <v>47.38</v>
      </c>
      <c r="H275">
        <f t="shared" si="4"/>
        <v>94.76</v>
      </c>
    </row>
    <row r="276" spans="1:8" x14ac:dyDescent="0.3">
      <c r="A276">
        <v>275</v>
      </c>
      <c r="B276">
        <v>13</v>
      </c>
      <c r="C276">
        <v>115</v>
      </c>
      <c r="D276" s="6">
        <v>42871</v>
      </c>
      <c r="E276" t="str">
        <f>VLOOKUP(B276,[1]pivottables!$F$2:$G$52,2,0)</f>
        <v>GBR</v>
      </c>
      <c r="F276">
        <v>3</v>
      </c>
      <c r="G276">
        <f>VLOOKUP(C276,[1]products!$B$2:$E$27,4,0)</f>
        <v>22.55</v>
      </c>
      <c r="H276">
        <f t="shared" si="4"/>
        <v>67.650000000000006</v>
      </c>
    </row>
    <row r="277" spans="1:8" x14ac:dyDescent="0.3">
      <c r="A277">
        <v>276</v>
      </c>
      <c r="B277">
        <v>18</v>
      </c>
      <c r="C277">
        <v>103</v>
      </c>
      <c r="D277" s="6">
        <v>42115</v>
      </c>
      <c r="E277" t="str">
        <f>VLOOKUP(B277,[1]pivottables!$F$2:$G$52,2,0)</f>
        <v>JPN</v>
      </c>
      <c r="F277">
        <v>5</v>
      </c>
      <c r="G277">
        <f>VLOOKUP(C277,[1]products!$B$2:$E$27,4,0)</f>
        <v>108.96</v>
      </c>
      <c r="H277">
        <f t="shared" si="4"/>
        <v>544.79999999999995</v>
      </c>
    </row>
    <row r="278" spans="1:8" x14ac:dyDescent="0.3">
      <c r="A278">
        <v>277</v>
      </c>
      <c r="B278">
        <v>39</v>
      </c>
      <c r="C278">
        <v>121</v>
      </c>
      <c r="D278" s="6">
        <v>42796</v>
      </c>
      <c r="E278" t="str">
        <f>VLOOKUP(B278,[1]pivottables!$F$2:$G$52,2,0)</f>
        <v>GBR</v>
      </c>
      <c r="F278">
        <v>1</v>
      </c>
      <c r="G278">
        <f>VLOOKUP(C278,[1]products!$B$2:$E$27,4,0)</f>
        <v>49.09</v>
      </c>
      <c r="H278">
        <f t="shared" si="4"/>
        <v>49.09</v>
      </c>
    </row>
    <row r="279" spans="1:8" x14ac:dyDescent="0.3">
      <c r="A279">
        <v>278</v>
      </c>
      <c r="B279">
        <v>15</v>
      </c>
      <c r="C279">
        <v>105</v>
      </c>
      <c r="D279" s="6">
        <v>43064</v>
      </c>
      <c r="E279" t="str">
        <f>VLOOKUP(B279,[1]pivottables!$F$2:$G$52,2,0)</f>
        <v>HUN</v>
      </c>
      <c r="F279">
        <v>4</v>
      </c>
      <c r="G279">
        <f>VLOOKUP(C279,[1]products!$B$2:$E$27,4,0)</f>
        <v>149.93</v>
      </c>
      <c r="H279">
        <f t="shared" si="4"/>
        <v>599.72</v>
      </c>
    </row>
    <row r="280" spans="1:8" x14ac:dyDescent="0.3">
      <c r="A280">
        <v>279</v>
      </c>
      <c r="B280">
        <v>9</v>
      </c>
      <c r="C280">
        <v>121</v>
      </c>
      <c r="D280" s="6">
        <v>42423</v>
      </c>
      <c r="E280" t="str">
        <f>VLOOKUP(B280,[1]pivottables!$F$2:$G$52,2,0)</f>
        <v>HUN</v>
      </c>
      <c r="F280">
        <v>1</v>
      </c>
      <c r="G280">
        <f>VLOOKUP(C280,[1]products!$B$2:$E$27,4,0)</f>
        <v>49.09</v>
      </c>
      <c r="H280">
        <f t="shared" si="4"/>
        <v>49.09</v>
      </c>
    </row>
    <row r="281" spans="1:8" x14ac:dyDescent="0.3">
      <c r="A281">
        <v>280</v>
      </c>
      <c r="B281">
        <v>42</v>
      </c>
      <c r="C281">
        <v>121</v>
      </c>
      <c r="D281" s="6">
        <v>42220</v>
      </c>
      <c r="E281" t="str">
        <f>VLOOKUP(B281,[1]pivottables!$F$2:$G$52,2,0)</f>
        <v>HUN</v>
      </c>
      <c r="F281">
        <v>4</v>
      </c>
      <c r="G281">
        <f>VLOOKUP(C281,[1]products!$B$2:$E$27,4,0)</f>
        <v>49.09</v>
      </c>
      <c r="H281">
        <f t="shared" si="4"/>
        <v>196.36</v>
      </c>
    </row>
    <row r="282" spans="1:8" x14ac:dyDescent="0.3">
      <c r="A282">
        <v>281</v>
      </c>
      <c r="B282">
        <v>27</v>
      </c>
      <c r="C282">
        <v>105</v>
      </c>
      <c r="D282" s="6">
        <v>42261</v>
      </c>
      <c r="E282" t="str">
        <f>VLOOKUP(B282,[1]pivottables!$F$2:$G$52,2,0)</f>
        <v>ITA</v>
      </c>
      <c r="F282">
        <v>1</v>
      </c>
      <c r="G282">
        <f>VLOOKUP(C282,[1]products!$B$2:$E$27,4,0)</f>
        <v>149.93</v>
      </c>
      <c r="H282">
        <f t="shared" si="4"/>
        <v>149.93</v>
      </c>
    </row>
    <row r="283" spans="1:8" x14ac:dyDescent="0.3">
      <c r="A283">
        <v>282</v>
      </c>
      <c r="B283">
        <v>38</v>
      </c>
      <c r="C283">
        <v>105</v>
      </c>
      <c r="D283" s="6">
        <v>42202</v>
      </c>
      <c r="E283" t="str">
        <f>VLOOKUP(B283,[1]pivottables!$F$2:$G$52,2,0)</f>
        <v>USA</v>
      </c>
      <c r="F283">
        <v>2</v>
      </c>
      <c r="G283">
        <f>VLOOKUP(C283,[1]products!$B$2:$E$27,4,0)</f>
        <v>149.93</v>
      </c>
      <c r="H283">
        <f t="shared" si="4"/>
        <v>299.86</v>
      </c>
    </row>
    <row r="284" spans="1:8" x14ac:dyDescent="0.3">
      <c r="A284">
        <v>283</v>
      </c>
      <c r="B284">
        <v>25</v>
      </c>
      <c r="C284">
        <v>125</v>
      </c>
      <c r="D284" s="6">
        <v>42495</v>
      </c>
      <c r="E284" t="str">
        <f>VLOOKUP(B284,[1]pivottables!$F$2:$G$52,2,0)</f>
        <v>CHN</v>
      </c>
      <c r="F284">
        <v>3</v>
      </c>
      <c r="G284">
        <f>VLOOKUP(C284,[1]products!$B$2:$E$27,4,0)</f>
        <v>90.44</v>
      </c>
      <c r="H284">
        <f t="shared" si="4"/>
        <v>271.32</v>
      </c>
    </row>
    <row r="285" spans="1:8" x14ac:dyDescent="0.3">
      <c r="A285">
        <v>284</v>
      </c>
      <c r="B285">
        <v>46</v>
      </c>
      <c r="C285">
        <v>106</v>
      </c>
      <c r="D285" s="6">
        <v>42809</v>
      </c>
      <c r="E285" t="str">
        <f>VLOOKUP(B285,[1]pivottables!$F$2:$G$52,2,0)</f>
        <v>JPN</v>
      </c>
      <c r="F285">
        <v>5</v>
      </c>
      <c r="G285">
        <f>VLOOKUP(C285,[1]products!$B$2:$E$27,4,0)</f>
        <v>132.88</v>
      </c>
      <c r="H285">
        <f t="shared" si="4"/>
        <v>664.4</v>
      </c>
    </row>
    <row r="286" spans="1:8" x14ac:dyDescent="0.3">
      <c r="A286">
        <v>285</v>
      </c>
      <c r="B286">
        <v>9</v>
      </c>
      <c r="C286">
        <v>117</v>
      </c>
      <c r="D286" s="6">
        <v>42335</v>
      </c>
      <c r="E286" t="str">
        <f>VLOOKUP(B286,[1]pivottables!$F$2:$G$52,2,0)</f>
        <v>HUN</v>
      </c>
      <c r="F286">
        <v>1</v>
      </c>
      <c r="G286">
        <f>VLOOKUP(C286,[1]products!$B$2:$E$27,4,0)</f>
        <v>47.38</v>
      </c>
      <c r="H286">
        <f t="shared" si="4"/>
        <v>47.38</v>
      </c>
    </row>
    <row r="287" spans="1:8" x14ac:dyDescent="0.3">
      <c r="A287">
        <v>286</v>
      </c>
      <c r="B287">
        <v>28</v>
      </c>
      <c r="C287">
        <v>106</v>
      </c>
      <c r="D287" s="6">
        <v>42955</v>
      </c>
      <c r="E287" t="str">
        <f>VLOOKUP(B287,[1]pivottables!$F$2:$G$52,2,0)</f>
        <v>FRA</v>
      </c>
      <c r="F287">
        <v>5</v>
      </c>
      <c r="G287">
        <f>VLOOKUP(C287,[1]products!$B$2:$E$27,4,0)</f>
        <v>132.88</v>
      </c>
      <c r="H287">
        <f t="shared" si="4"/>
        <v>664.4</v>
      </c>
    </row>
    <row r="288" spans="1:8" x14ac:dyDescent="0.3">
      <c r="A288">
        <v>287</v>
      </c>
      <c r="B288">
        <v>25</v>
      </c>
      <c r="C288">
        <v>109</v>
      </c>
      <c r="D288" s="6">
        <v>42540</v>
      </c>
      <c r="E288" t="str">
        <f>VLOOKUP(B288,[1]pivottables!$F$2:$G$52,2,0)</f>
        <v>CHN</v>
      </c>
      <c r="F288">
        <v>5</v>
      </c>
      <c r="G288">
        <f>VLOOKUP(C288,[1]products!$B$2:$E$27,4,0)</f>
        <v>143.97999999999999</v>
      </c>
      <c r="H288">
        <f t="shared" si="4"/>
        <v>719.9</v>
      </c>
    </row>
    <row r="289" spans="1:8" x14ac:dyDescent="0.3">
      <c r="A289">
        <v>288</v>
      </c>
      <c r="B289">
        <v>34</v>
      </c>
      <c r="C289">
        <v>101</v>
      </c>
      <c r="D289" s="6">
        <v>42327</v>
      </c>
      <c r="E289" t="str">
        <f>VLOOKUP(B289,[1]pivottables!$F$2:$G$52,2,0)</f>
        <v>CAN</v>
      </c>
      <c r="F289">
        <v>2</v>
      </c>
      <c r="G289">
        <f>VLOOKUP(C289,[1]products!$B$2:$E$27,4,0)</f>
        <v>108.61</v>
      </c>
      <c r="H289">
        <f t="shared" si="4"/>
        <v>217.22</v>
      </c>
    </row>
    <row r="290" spans="1:8" x14ac:dyDescent="0.3">
      <c r="A290">
        <v>289</v>
      </c>
      <c r="B290">
        <v>39</v>
      </c>
      <c r="C290">
        <v>119</v>
      </c>
      <c r="D290" s="6">
        <v>43003</v>
      </c>
      <c r="E290" t="str">
        <f>VLOOKUP(B290,[1]pivottables!$F$2:$G$52,2,0)</f>
        <v>GBR</v>
      </c>
      <c r="F290">
        <v>4</v>
      </c>
      <c r="G290">
        <f>VLOOKUP(C290,[1]products!$B$2:$E$27,4,0)</f>
        <v>74.55</v>
      </c>
      <c r="H290">
        <f t="shared" si="4"/>
        <v>298.2</v>
      </c>
    </row>
    <row r="291" spans="1:8" x14ac:dyDescent="0.3">
      <c r="A291">
        <v>290</v>
      </c>
      <c r="B291">
        <v>36</v>
      </c>
      <c r="C291">
        <v>122</v>
      </c>
      <c r="D291" s="6">
        <v>42533</v>
      </c>
      <c r="E291" t="str">
        <f>VLOOKUP(B291,[1]pivottables!$F$2:$G$52,2,0)</f>
        <v>FRA</v>
      </c>
      <c r="F291">
        <v>1</v>
      </c>
      <c r="G291">
        <f>VLOOKUP(C291,[1]products!$B$2:$E$27,4,0)</f>
        <v>32.64</v>
      </c>
      <c r="H291">
        <f t="shared" si="4"/>
        <v>32.64</v>
      </c>
    </row>
    <row r="292" spans="1:8" x14ac:dyDescent="0.3">
      <c r="A292">
        <v>291</v>
      </c>
      <c r="B292">
        <v>6</v>
      </c>
      <c r="C292">
        <v>119</v>
      </c>
      <c r="D292" s="6">
        <v>42212</v>
      </c>
      <c r="E292" t="str">
        <f>VLOOKUP(B292,[1]pivottables!$F$2:$G$52,2,0)</f>
        <v>CAN</v>
      </c>
      <c r="F292">
        <v>3</v>
      </c>
      <c r="G292">
        <f>VLOOKUP(C292,[1]products!$B$2:$E$27,4,0)</f>
        <v>74.55</v>
      </c>
      <c r="H292">
        <f t="shared" si="4"/>
        <v>223.64999999999998</v>
      </c>
    </row>
    <row r="293" spans="1:8" x14ac:dyDescent="0.3">
      <c r="A293">
        <v>292</v>
      </c>
      <c r="B293">
        <v>50</v>
      </c>
      <c r="C293">
        <v>108</v>
      </c>
      <c r="D293" s="6">
        <v>42806</v>
      </c>
      <c r="E293" t="str">
        <f>VLOOKUP(B293,[1]pivottables!$F$2:$G$52,2,0)</f>
        <v>NLD</v>
      </c>
      <c r="F293">
        <v>2</v>
      </c>
      <c r="G293">
        <f>VLOOKUP(C293,[1]products!$B$2:$E$27,4,0)</f>
        <v>137.97999999999999</v>
      </c>
      <c r="H293">
        <f t="shared" si="4"/>
        <v>275.95999999999998</v>
      </c>
    </row>
    <row r="294" spans="1:8" x14ac:dyDescent="0.3">
      <c r="A294">
        <v>293</v>
      </c>
      <c r="B294">
        <v>24</v>
      </c>
      <c r="C294">
        <v>121</v>
      </c>
      <c r="D294" s="6">
        <v>42515</v>
      </c>
      <c r="E294" t="str">
        <f>VLOOKUP(B294,[1]pivottables!$F$2:$G$52,2,0)</f>
        <v>NLD</v>
      </c>
      <c r="F294">
        <v>5</v>
      </c>
      <c r="G294">
        <f>VLOOKUP(C294,[1]products!$B$2:$E$27,4,0)</f>
        <v>49.09</v>
      </c>
      <c r="H294">
        <f t="shared" si="4"/>
        <v>245.45000000000002</v>
      </c>
    </row>
    <row r="295" spans="1:8" x14ac:dyDescent="0.3">
      <c r="A295">
        <v>294</v>
      </c>
      <c r="B295">
        <v>35</v>
      </c>
      <c r="C295">
        <v>119</v>
      </c>
      <c r="D295" s="6">
        <v>42031</v>
      </c>
      <c r="E295" t="str">
        <f>VLOOKUP(B295,[1]pivottables!$F$2:$G$52,2,0)</f>
        <v>JPN</v>
      </c>
      <c r="F295">
        <v>1</v>
      </c>
      <c r="G295">
        <f>VLOOKUP(C295,[1]products!$B$2:$E$27,4,0)</f>
        <v>74.55</v>
      </c>
      <c r="H295">
        <f t="shared" si="4"/>
        <v>74.55</v>
      </c>
    </row>
    <row r="296" spans="1:8" x14ac:dyDescent="0.3">
      <c r="A296">
        <v>295</v>
      </c>
      <c r="B296">
        <v>16</v>
      </c>
      <c r="C296">
        <v>125</v>
      </c>
      <c r="D296" s="6">
        <v>42362</v>
      </c>
      <c r="E296" t="str">
        <f>VLOOKUP(B296,[1]pivottables!$F$2:$G$52,2,0)</f>
        <v>JPN</v>
      </c>
      <c r="F296">
        <v>4</v>
      </c>
      <c r="G296">
        <f>VLOOKUP(C296,[1]products!$B$2:$E$27,4,0)</f>
        <v>90.44</v>
      </c>
      <c r="H296">
        <f t="shared" si="4"/>
        <v>361.76</v>
      </c>
    </row>
    <row r="297" spans="1:8" x14ac:dyDescent="0.3">
      <c r="A297">
        <v>296</v>
      </c>
      <c r="B297">
        <v>19</v>
      </c>
      <c r="C297">
        <v>124</v>
      </c>
      <c r="D297" s="6">
        <v>42948</v>
      </c>
      <c r="E297" t="str">
        <f>VLOOKUP(B297,[1]pivottables!$F$2:$G$52,2,0)</f>
        <v>NLD</v>
      </c>
      <c r="F297">
        <v>5</v>
      </c>
      <c r="G297">
        <f>VLOOKUP(C297,[1]products!$B$2:$E$27,4,0)</f>
        <v>108.54</v>
      </c>
      <c r="H297">
        <f t="shared" si="4"/>
        <v>542.70000000000005</v>
      </c>
    </row>
    <row r="298" spans="1:8" x14ac:dyDescent="0.3">
      <c r="A298">
        <v>297</v>
      </c>
      <c r="B298">
        <v>38</v>
      </c>
      <c r="C298">
        <v>119</v>
      </c>
      <c r="D298" s="6">
        <v>42933</v>
      </c>
      <c r="E298" t="str">
        <f>VLOOKUP(B298,[1]pivottables!$F$2:$G$52,2,0)</f>
        <v>USA</v>
      </c>
      <c r="F298">
        <v>5</v>
      </c>
      <c r="G298">
        <f>VLOOKUP(C298,[1]products!$B$2:$E$27,4,0)</f>
        <v>74.55</v>
      </c>
      <c r="H298">
        <f t="shared" si="4"/>
        <v>372.75</v>
      </c>
    </row>
    <row r="299" spans="1:8" x14ac:dyDescent="0.3">
      <c r="A299">
        <v>298</v>
      </c>
      <c r="B299">
        <v>45</v>
      </c>
      <c r="C299">
        <v>100</v>
      </c>
      <c r="D299" s="6">
        <v>42970</v>
      </c>
      <c r="E299" t="str">
        <f>VLOOKUP(B299,[1]pivottables!$F$2:$G$52,2,0)</f>
        <v>NLD</v>
      </c>
      <c r="F299">
        <v>1</v>
      </c>
      <c r="G299">
        <f>VLOOKUP(C299,[1]products!$B$2:$E$27,4,0)</f>
        <v>30.29</v>
      </c>
      <c r="H299">
        <f t="shared" si="4"/>
        <v>30.29</v>
      </c>
    </row>
    <row r="300" spans="1:8" x14ac:dyDescent="0.3">
      <c r="A300">
        <v>299</v>
      </c>
      <c r="B300">
        <v>39</v>
      </c>
      <c r="C300">
        <v>122</v>
      </c>
      <c r="D300" s="6">
        <v>42044</v>
      </c>
      <c r="E300" t="str">
        <f>VLOOKUP(B300,[1]pivottables!$F$2:$G$52,2,0)</f>
        <v>GBR</v>
      </c>
      <c r="F300">
        <v>5</v>
      </c>
      <c r="G300">
        <f>VLOOKUP(C300,[1]products!$B$2:$E$27,4,0)</f>
        <v>32.64</v>
      </c>
      <c r="H300">
        <f t="shared" si="4"/>
        <v>163.19999999999999</v>
      </c>
    </row>
    <row r="301" spans="1:8" x14ac:dyDescent="0.3">
      <c r="A301">
        <v>300</v>
      </c>
      <c r="B301">
        <v>17</v>
      </c>
      <c r="C301">
        <v>120</v>
      </c>
      <c r="D301" s="6">
        <v>42589</v>
      </c>
      <c r="E301" t="str">
        <f>VLOOKUP(B301,[1]pivottables!$F$2:$G$52,2,0)</f>
        <v>CAN</v>
      </c>
      <c r="F301">
        <v>2</v>
      </c>
      <c r="G301">
        <f>VLOOKUP(C301,[1]products!$B$2:$E$27,4,0)</f>
        <v>17.13</v>
      </c>
      <c r="H301">
        <f t="shared" si="4"/>
        <v>34.26</v>
      </c>
    </row>
    <row r="302" spans="1:8" x14ac:dyDescent="0.3">
      <c r="A302">
        <v>301</v>
      </c>
      <c r="B302">
        <v>11</v>
      </c>
      <c r="C302">
        <v>122</v>
      </c>
      <c r="D302" s="6">
        <v>42995</v>
      </c>
      <c r="E302" t="str">
        <f>VLOOKUP(B302,[1]pivottables!$F$2:$G$52,2,0)</f>
        <v>ITA</v>
      </c>
      <c r="F302">
        <v>3</v>
      </c>
      <c r="G302">
        <f>VLOOKUP(C302,[1]products!$B$2:$E$27,4,0)</f>
        <v>32.64</v>
      </c>
      <c r="H302">
        <f t="shared" si="4"/>
        <v>97.92</v>
      </c>
    </row>
    <row r="303" spans="1:8" x14ac:dyDescent="0.3">
      <c r="A303">
        <v>302</v>
      </c>
      <c r="B303">
        <v>4</v>
      </c>
      <c r="C303">
        <v>110</v>
      </c>
      <c r="D303" s="6">
        <v>42498</v>
      </c>
      <c r="E303" t="str">
        <f>VLOOKUP(B303,[1]pivottables!$F$2:$G$52,2,0)</f>
        <v>ITA</v>
      </c>
      <c r="F303">
        <v>1</v>
      </c>
      <c r="G303">
        <f>VLOOKUP(C303,[1]products!$B$2:$E$27,4,0)</f>
        <v>10.76</v>
      </c>
      <c r="H303">
        <f t="shared" si="4"/>
        <v>10.76</v>
      </c>
    </row>
    <row r="304" spans="1:8" x14ac:dyDescent="0.3">
      <c r="A304">
        <v>303</v>
      </c>
      <c r="B304">
        <v>2</v>
      </c>
      <c r="C304">
        <v>113</v>
      </c>
      <c r="D304" s="6">
        <v>42059</v>
      </c>
      <c r="E304" t="str">
        <f>VLOOKUP(B304,[1]pivottables!$F$2:$G$52,2,0)</f>
        <v>CZE</v>
      </c>
      <c r="F304">
        <v>3</v>
      </c>
      <c r="G304">
        <f>VLOOKUP(C304,[1]products!$B$2:$E$27,4,0)</f>
        <v>9.89</v>
      </c>
      <c r="H304">
        <f t="shared" si="4"/>
        <v>29.67</v>
      </c>
    </row>
    <row r="305" spans="1:8" x14ac:dyDescent="0.3">
      <c r="A305">
        <v>304</v>
      </c>
      <c r="B305">
        <v>10</v>
      </c>
      <c r="C305">
        <v>106</v>
      </c>
      <c r="D305" s="6">
        <v>42314</v>
      </c>
      <c r="E305" t="str">
        <f>VLOOKUP(B305,[1]pivottables!$F$2:$G$52,2,0)</f>
        <v>NLD</v>
      </c>
      <c r="F305">
        <v>2</v>
      </c>
      <c r="G305">
        <f>VLOOKUP(C305,[1]products!$B$2:$E$27,4,0)</f>
        <v>132.88</v>
      </c>
      <c r="H305">
        <f t="shared" si="4"/>
        <v>265.76</v>
      </c>
    </row>
    <row r="306" spans="1:8" x14ac:dyDescent="0.3">
      <c r="A306">
        <v>305</v>
      </c>
      <c r="B306">
        <v>31</v>
      </c>
      <c r="C306">
        <v>113</v>
      </c>
      <c r="D306" s="6">
        <v>42150</v>
      </c>
      <c r="E306" t="str">
        <f>VLOOKUP(B306,[1]pivottables!$F$2:$G$52,2,0)</f>
        <v>GBR</v>
      </c>
      <c r="F306">
        <v>4</v>
      </c>
      <c r="G306">
        <f>VLOOKUP(C306,[1]products!$B$2:$E$27,4,0)</f>
        <v>9.89</v>
      </c>
      <c r="H306">
        <f t="shared" si="4"/>
        <v>39.56</v>
      </c>
    </row>
    <row r="307" spans="1:8" x14ac:dyDescent="0.3">
      <c r="A307">
        <v>306</v>
      </c>
      <c r="B307">
        <v>23</v>
      </c>
      <c r="C307">
        <v>119</v>
      </c>
      <c r="D307" s="6">
        <v>42919</v>
      </c>
      <c r="E307" t="str">
        <f>VLOOKUP(B307,[1]pivottables!$F$2:$G$52,2,0)</f>
        <v>GBR</v>
      </c>
      <c r="F307">
        <v>2</v>
      </c>
      <c r="G307">
        <f>VLOOKUP(C307,[1]products!$B$2:$E$27,4,0)</f>
        <v>74.55</v>
      </c>
      <c r="H307">
        <f t="shared" si="4"/>
        <v>149.1</v>
      </c>
    </row>
    <row r="308" spans="1:8" x14ac:dyDescent="0.3">
      <c r="A308">
        <v>307</v>
      </c>
      <c r="B308">
        <v>8</v>
      </c>
      <c r="C308">
        <v>121</v>
      </c>
      <c r="D308" s="6">
        <v>42195</v>
      </c>
      <c r="E308" t="str">
        <f>VLOOKUP(B308,[1]pivottables!$F$2:$G$52,2,0)</f>
        <v>CZE</v>
      </c>
      <c r="F308">
        <v>5</v>
      </c>
      <c r="G308">
        <f>VLOOKUP(C308,[1]products!$B$2:$E$27,4,0)</f>
        <v>49.09</v>
      </c>
      <c r="H308">
        <f t="shared" si="4"/>
        <v>245.45000000000002</v>
      </c>
    </row>
    <row r="309" spans="1:8" x14ac:dyDescent="0.3">
      <c r="A309">
        <v>308</v>
      </c>
      <c r="B309">
        <v>40</v>
      </c>
      <c r="C309">
        <v>104</v>
      </c>
      <c r="D309" s="6">
        <v>43064</v>
      </c>
      <c r="E309" t="str">
        <f>VLOOKUP(B309,[1]pivottables!$F$2:$G$52,2,0)</f>
        <v>JPN</v>
      </c>
      <c r="F309">
        <v>5</v>
      </c>
      <c r="G309">
        <f>VLOOKUP(C309,[1]products!$B$2:$E$27,4,0)</f>
        <v>122.18</v>
      </c>
      <c r="H309">
        <f t="shared" si="4"/>
        <v>610.90000000000009</v>
      </c>
    </row>
    <row r="310" spans="1:8" x14ac:dyDescent="0.3">
      <c r="A310">
        <v>309</v>
      </c>
      <c r="B310">
        <v>9</v>
      </c>
      <c r="C310">
        <v>108</v>
      </c>
      <c r="D310" s="6">
        <v>42130</v>
      </c>
      <c r="E310" t="str">
        <f>VLOOKUP(B310,[1]pivottables!$F$2:$G$52,2,0)</f>
        <v>HUN</v>
      </c>
      <c r="F310">
        <v>2</v>
      </c>
      <c r="G310">
        <f>VLOOKUP(C310,[1]products!$B$2:$E$27,4,0)</f>
        <v>137.97999999999999</v>
      </c>
      <c r="H310">
        <f t="shared" si="4"/>
        <v>275.95999999999998</v>
      </c>
    </row>
    <row r="311" spans="1:8" x14ac:dyDescent="0.3">
      <c r="A311">
        <v>310</v>
      </c>
      <c r="B311">
        <v>34</v>
      </c>
      <c r="C311">
        <v>112</v>
      </c>
      <c r="D311" s="6">
        <v>42941</v>
      </c>
      <c r="E311" t="str">
        <f>VLOOKUP(B311,[1]pivottables!$F$2:$G$52,2,0)</f>
        <v>CAN</v>
      </c>
      <c r="F311">
        <v>2</v>
      </c>
      <c r="G311">
        <f>VLOOKUP(C311,[1]products!$B$2:$E$27,4,0)</f>
        <v>106.3</v>
      </c>
      <c r="H311">
        <f t="shared" si="4"/>
        <v>212.6</v>
      </c>
    </row>
    <row r="312" spans="1:8" x14ac:dyDescent="0.3">
      <c r="A312">
        <v>311</v>
      </c>
      <c r="B312">
        <v>28</v>
      </c>
      <c r="C312">
        <v>111</v>
      </c>
      <c r="D312" s="6">
        <v>42222</v>
      </c>
      <c r="E312" t="str">
        <f>VLOOKUP(B312,[1]pivottables!$F$2:$G$52,2,0)</f>
        <v>FRA</v>
      </c>
      <c r="F312">
        <v>5</v>
      </c>
      <c r="G312">
        <f>VLOOKUP(C312,[1]products!$B$2:$E$27,4,0)</f>
        <v>149.93</v>
      </c>
      <c r="H312">
        <f t="shared" si="4"/>
        <v>749.65000000000009</v>
      </c>
    </row>
    <row r="313" spans="1:8" x14ac:dyDescent="0.3">
      <c r="A313">
        <v>312</v>
      </c>
      <c r="B313">
        <v>4</v>
      </c>
      <c r="C313">
        <v>108</v>
      </c>
      <c r="D313" s="6">
        <v>42467</v>
      </c>
      <c r="E313" t="str">
        <f>VLOOKUP(B313,[1]pivottables!$F$2:$G$52,2,0)</f>
        <v>ITA</v>
      </c>
      <c r="F313">
        <v>2</v>
      </c>
      <c r="G313">
        <f>VLOOKUP(C313,[1]products!$B$2:$E$27,4,0)</f>
        <v>137.97999999999999</v>
      </c>
      <c r="H313">
        <f t="shared" si="4"/>
        <v>275.95999999999998</v>
      </c>
    </row>
    <row r="314" spans="1:8" x14ac:dyDescent="0.3">
      <c r="A314">
        <v>313</v>
      </c>
      <c r="B314">
        <v>1</v>
      </c>
      <c r="C314">
        <v>114</v>
      </c>
      <c r="D314" s="6">
        <v>42779</v>
      </c>
      <c r="E314" t="str">
        <f>VLOOKUP(B314,[1]pivottables!$F$2:$G$52,2,0)</f>
        <v>FRA</v>
      </c>
      <c r="F314">
        <v>4</v>
      </c>
      <c r="G314">
        <f>VLOOKUP(C314,[1]products!$B$2:$E$27,4,0)</f>
        <v>74.38</v>
      </c>
      <c r="H314">
        <f t="shared" si="4"/>
        <v>297.52</v>
      </c>
    </row>
    <row r="315" spans="1:8" x14ac:dyDescent="0.3">
      <c r="A315">
        <v>314</v>
      </c>
      <c r="B315">
        <v>14</v>
      </c>
      <c r="C315">
        <v>106</v>
      </c>
      <c r="D315" s="6">
        <v>42670</v>
      </c>
      <c r="E315" t="str">
        <f>VLOOKUP(B315,[1]pivottables!$F$2:$G$52,2,0)</f>
        <v>CZE</v>
      </c>
      <c r="F315">
        <v>4</v>
      </c>
      <c r="G315">
        <f>VLOOKUP(C315,[1]products!$B$2:$E$27,4,0)</f>
        <v>132.88</v>
      </c>
      <c r="H315">
        <f t="shared" si="4"/>
        <v>531.52</v>
      </c>
    </row>
    <row r="316" spans="1:8" x14ac:dyDescent="0.3">
      <c r="A316">
        <v>315</v>
      </c>
      <c r="B316">
        <v>16</v>
      </c>
      <c r="C316">
        <v>102</v>
      </c>
      <c r="D316" s="6">
        <v>42712</v>
      </c>
      <c r="E316" t="str">
        <f>VLOOKUP(B316,[1]pivottables!$F$2:$G$52,2,0)</f>
        <v>JPN</v>
      </c>
      <c r="F316">
        <v>4</v>
      </c>
      <c r="G316">
        <f>VLOOKUP(C316,[1]products!$B$2:$E$27,4,0)</f>
        <v>14.94</v>
      </c>
      <c r="H316">
        <f t="shared" si="4"/>
        <v>59.76</v>
      </c>
    </row>
    <row r="317" spans="1:8" x14ac:dyDescent="0.3">
      <c r="A317">
        <v>316</v>
      </c>
      <c r="B317">
        <v>20</v>
      </c>
      <c r="C317">
        <v>123</v>
      </c>
      <c r="D317" s="6">
        <v>42751</v>
      </c>
      <c r="E317" t="str">
        <f>VLOOKUP(B317,[1]pivottables!$F$2:$G$52,2,0)</f>
        <v>FRA</v>
      </c>
      <c r="F317">
        <v>5</v>
      </c>
      <c r="G317">
        <f>VLOOKUP(C317,[1]products!$B$2:$E$27,4,0)</f>
        <v>39.67</v>
      </c>
      <c r="H317">
        <f t="shared" si="4"/>
        <v>198.35000000000002</v>
      </c>
    </row>
    <row r="318" spans="1:8" x14ac:dyDescent="0.3">
      <c r="A318">
        <v>317</v>
      </c>
      <c r="B318">
        <v>37</v>
      </c>
      <c r="C318">
        <v>105</v>
      </c>
      <c r="D318" s="6">
        <v>42176</v>
      </c>
      <c r="E318" t="str">
        <f>VLOOKUP(B318,[1]pivottables!$F$2:$G$52,2,0)</f>
        <v>GBR</v>
      </c>
      <c r="F318">
        <v>2</v>
      </c>
      <c r="G318">
        <f>VLOOKUP(C318,[1]products!$B$2:$E$27,4,0)</f>
        <v>149.93</v>
      </c>
      <c r="H318">
        <f t="shared" si="4"/>
        <v>299.86</v>
      </c>
    </row>
    <row r="319" spans="1:8" x14ac:dyDescent="0.3">
      <c r="A319">
        <v>318</v>
      </c>
      <c r="B319">
        <v>8</v>
      </c>
      <c r="C319">
        <v>101</v>
      </c>
      <c r="D319" s="6">
        <v>42641</v>
      </c>
      <c r="E319" t="str">
        <f>VLOOKUP(B319,[1]pivottables!$F$2:$G$52,2,0)</f>
        <v>CZE</v>
      </c>
      <c r="F319">
        <v>3</v>
      </c>
      <c r="G319">
        <f>VLOOKUP(C319,[1]products!$B$2:$E$27,4,0)</f>
        <v>108.61</v>
      </c>
      <c r="H319">
        <f t="shared" si="4"/>
        <v>325.83</v>
      </c>
    </row>
    <row r="320" spans="1:8" x14ac:dyDescent="0.3">
      <c r="A320">
        <v>319</v>
      </c>
      <c r="B320">
        <v>4</v>
      </c>
      <c r="C320">
        <v>117</v>
      </c>
      <c r="D320" s="6">
        <v>42029</v>
      </c>
      <c r="E320" t="str">
        <f>VLOOKUP(B320,[1]pivottables!$F$2:$G$52,2,0)</f>
        <v>ITA</v>
      </c>
      <c r="F320">
        <v>1</v>
      </c>
      <c r="G320">
        <f>VLOOKUP(C320,[1]products!$B$2:$E$27,4,0)</f>
        <v>47.38</v>
      </c>
      <c r="H320">
        <f t="shared" si="4"/>
        <v>47.38</v>
      </c>
    </row>
    <row r="321" spans="1:8" x14ac:dyDescent="0.3">
      <c r="A321">
        <v>320</v>
      </c>
      <c r="B321">
        <v>49</v>
      </c>
      <c r="C321">
        <v>112</v>
      </c>
      <c r="D321" s="6">
        <v>42550</v>
      </c>
      <c r="E321" t="str">
        <f>VLOOKUP(B321,[1]pivottables!$F$2:$G$52,2,0)</f>
        <v>JPN</v>
      </c>
      <c r="F321">
        <v>2</v>
      </c>
      <c r="G321">
        <f>VLOOKUP(C321,[1]products!$B$2:$E$27,4,0)</f>
        <v>106.3</v>
      </c>
      <c r="H321">
        <f t="shared" si="4"/>
        <v>212.6</v>
      </c>
    </row>
    <row r="322" spans="1:8" x14ac:dyDescent="0.3">
      <c r="A322">
        <v>321</v>
      </c>
      <c r="B322">
        <v>12</v>
      </c>
      <c r="C322">
        <v>125</v>
      </c>
      <c r="D322" s="6">
        <v>42291</v>
      </c>
      <c r="E322" t="str">
        <f>VLOOKUP(B322,[1]pivottables!$F$2:$G$52,2,0)</f>
        <v>FRA</v>
      </c>
      <c r="F322">
        <v>1</v>
      </c>
      <c r="G322">
        <f>VLOOKUP(C322,[1]products!$B$2:$E$27,4,0)</f>
        <v>90.44</v>
      </c>
      <c r="H322">
        <f t="shared" si="4"/>
        <v>90.44</v>
      </c>
    </row>
    <row r="323" spans="1:8" x14ac:dyDescent="0.3">
      <c r="A323">
        <v>322</v>
      </c>
      <c r="B323">
        <v>4</v>
      </c>
      <c r="C323">
        <v>101</v>
      </c>
      <c r="D323" s="6">
        <v>42398</v>
      </c>
      <c r="E323" t="str">
        <f>VLOOKUP(B323,[1]pivottables!$F$2:$G$52,2,0)</f>
        <v>ITA</v>
      </c>
      <c r="F323">
        <v>4</v>
      </c>
      <c r="G323">
        <f>VLOOKUP(C323,[1]products!$B$2:$E$27,4,0)</f>
        <v>108.61</v>
      </c>
      <c r="H323">
        <f t="shared" ref="H323:H386" si="5">G323*F323</f>
        <v>434.44</v>
      </c>
    </row>
    <row r="324" spans="1:8" x14ac:dyDescent="0.3">
      <c r="A324">
        <v>323</v>
      </c>
      <c r="B324">
        <v>8</v>
      </c>
      <c r="C324">
        <v>103</v>
      </c>
      <c r="D324" s="6">
        <v>42438</v>
      </c>
      <c r="E324" t="str">
        <f>VLOOKUP(B324,[1]pivottables!$F$2:$G$52,2,0)</f>
        <v>CZE</v>
      </c>
      <c r="F324">
        <v>1</v>
      </c>
      <c r="G324">
        <f>VLOOKUP(C324,[1]products!$B$2:$E$27,4,0)</f>
        <v>108.96</v>
      </c>
      <c r="H324">
        <f t="shared" si="5"/>
        <v>108.96</v>
      </c>
    </row>
    <row r="325" spans="1:8" x14ac:dyDescent="0.3">
      <c r="A325">
        <v>324</v>
      </c>
      <c r="B325">
        <v>1</v>
      </c>
      <c r="C325">
        <v>116</v>
      </c>
      <c r="D325" s="6">
        <v>42248</v>
      </c>
      <c r="E325" t="str">
        <f>VLOOKUP(B325,[1]pivottables!$F$2:$G$52,2,0)</f>
        <v>FRA</v>
      </c>
      <c r="F325">
        <v>2</v>
      </c>
      <c r="G325">
        <f>VLOOKUP(C325,[1]products!$B$2:$E$27,4,0)</f>
        <v>137.19999999999999</v>
      </c>
      <c r="H325">
        <f t="shared" si="5"/>
        <v>274.39999999999998</v>
      </c>
    </row>
    <row r="326" spans="1:8" x14ac:dyDescent="0.3">
      <c r="A326">
        <v>325</v>
      </c>
      <c r="B326">
        <v>47</v>
      </c>
      <c r="C326">
        <v>114</v>
      </c>
      <c r="D326" s="6">
        <v>42951</v>
      </c>
      <c r="E326" t="str">
        <f>VLOOKUP(B326,[1]pivottables!$F$2:$G$52,2,0)</f>
        <v>CHN</v>
      </c>
      <c r="F326">
        <v>4</v>
      </c>
      <c r="G326">
        <f>VLOOKUP(C326,[1]products!$B$2:$E$27,4,0)</f>
        <v>74.38</v>
      </c>
      <c r="H326">
        <f t="shared" si="5"/>
        <v>297.52</v>
      </c>
    </row>
    <row r="327" spans="1:8" x14ac:dyDescent="0.3">
      <c r="A327">
        <v>326</v>
      </c>
      <c r="B327">
        <v>19</v>
      </c>
      <c r="C327">
        <v>119</v>
      </c>
      <c r="D327" s="6">
        <v>42011</v>
      </c>
      <c r="E327" t="str">
        <f>VLOOKUP(B327,[1]pivottables!$F$2:$G$52,2,0)</f>
        <v>NLD</v>
      </c>
      <c r="F327">
        <v>2</v>
      </c>
      <c r="G327">
        <f>VLOOKUP(C327,[1]products!$B$2:$E$27,4,0)</f>
        <v>74.55</v>
      </c>
      <c r="H327">
        <f t="shared" si="5"/>
        <v>149.1</v>
      </c>
    </row>
    <row r="328" spans="1:8" x14ac:dyDescent="0.3">
      <c r="A328">
        <v>327</v>
      </c>
      <c r="B328">
        <v>9</v>
      </c>
      <c r="C328">
        <v>113</v>
      </c>
      <c r="D328" s="6">
        <v>42784</v>
      </c>
      <c r="E328" t="str">
        <f>VLOOKUP(B328,[1]pivottables!$F$2:$G$52,2,0)</f>
        <v>HUN</v>
      </c>
      <c r="F328">
        <v>5</v>
      </c>
      <c r="G328">
        <f>VLOOKUP(C328,[1]products!$B$2:$E$27,4,0)</f>
        <v>9.89</v>
      </c>
      <c r="H328">
        <f t="shared" si="5"/>
        <v>49.45</v>
      </c>
    </row>
    <row r="329" spans="1:8" x14ac:dyDescent="0.3">
      <c r="A329">
        <v>328</v>
      </c>
      <c r="B329">
        <v>48</v>
      </c>
      <c r="C329">
        <v>102</v>
      </c>
      <c r="D329" s="6">
        <v>42461</v>
      </c>
      <c r="E329" t="str">
        <f>VLOOKUP(B329,[1]pivottables!$F$2:$G$52,2,0)</f>
        <v>GBR</v>
      </c>
      <c r="F329">
        <v>2</v>
      </c>
      <c r="G329">
        <f>VLOOKUP(C329,[1]products!$B$2:$E$27,4,0)</f>
        <v>14.94</v>
      </c>
      <c r="H329">
        <f t="shared" si="5"/>
        <v>29.88</v>
      </c>
    </row>
    <row r="330" spans="1:8" x14ac:dyDescent="0.3">
      <c r="A330">
        <v>329</v>
      </c>
      <c r="B330">
        <v>23</v>
      </c>
      <c r="C330">
        <v>121</v>
      </c>
      <c r="D330" s="6">
        <v>42301</v>
      </c>
      <c r="E330" t="str">
        <f>VLOOKUP(B330,[1]pivottables!$F$2:$G$52,2,0)</f>
        <v>GBR</v>
      </c>
      <c r="F330">
        <v>5</v>
      </c>
      <c r="G330">
        <f>VLOOKUP(C330,[1]products!$B$2:$E$27,4,0)</f>
        <v>49.09</v>
      </c>
      <c r="H330">
        <f t="shared" si="5"/>
        <v>245.45000000000002</v>
      </c>
    </row>
    <row r="331" spans="1:8" x14ac:dyDescent="0.3">
      <c r="A331">
        <v>330</v>
      </c>
      <c r="B331">
        <v>42</v>
      </c>
      <c r="C331">
        <v>101</v>
      </c>
      <c r="D331" s="6">
        <v>42656</v>
      </c>
      <c r="E331" t="str">
        <f>VLOOKUP(B331,[1]pivottables!$F$2:$G$52,2,0)</f>
        <v>HUN</v>
      </c>
      <c r="F331">
        <v>1</v>
      </c>
      <c r="G331">
        <f>VLOOKUP(C331,[1]products!$B$2:$E$27,4,0)</f>
        <v>108.61</v>
      </c>
      <c r="H331">
        <f t="shared" si="5"/>
        <v>108.61</v>
      </c>
    </row>
    <row r="332" spans="1:8" x14ac:dyDescent="0.3">
      <c r="A332">
        <v>331</v>
      </c>
      <c r="B332">
        <v>26</v>
      </c>
      <c r="C332">
        <v>111</v>
      </c>
      <c r="D332" s="6">
        <v>42953</v>
      </c>
      <c r="E332" t="str">
        <f>VLOOKUP(B332,[1]pivottables!$F$2:$G$52,2,0)</f>
        <v>NLD</v>
      </c>
      <c r="F332">
        <v>1</v>
      </c>
      <c r="G332">
        <f>VLOOKUP(C332,[1]products!$B$2:$E$27,4,0)</f>
        <v>149.93</v>
      </c>
      <c r="H332">
        <f t="shared" si="5"/>
        <v>149.93</v>
      </c>
    </row>
    <row r="333" spans="1:8" x14ac:dyDescent="0.3">
      <c r="A333">
        <v>332</v>
      </c>
      <c r="B333">
        <v>46</v>
      </c>
      <c r="C333">
        <v>106</v>
      </c>
      <c r="D333" s="6">
        <v>42508</v>
      </c>
      <c r="E333" t="str">
        <f>VLOOKUP(B333,[1]pivottables!$F$2:$G$52,2,0)</f>
        <v>JPN</v>
      </c>
      <c r="F333">
        <v>5</v>
      </c>
      <c r="G333">
        <f>VLOOKUP(C333,[1]products!$B$2:$E$27,4,0)</f>
        <v>132.88</v>
      </c>
      <c r="H333">
        <f t="shared" si="5"/>
        <v>664.4</v>
      </c>
    </row>
    <row r="334" spans="1:8" x14ac:dyDescent="0.3">
      <c r="A334">
        <v>333</v>
      </c>
      <c r="B334">
        <v>4</v>
      </c>
      <c r="C334">
        <v>105</v>
      </c>
      <c r="D334" s="6">
        <v>42160</v>
      </c>
      <c r="E334" t="str">
        <f>VLOOKUP(B334,[1]pivottables!$F$2:$G$52,2,0)</f>
        <v>ITA</v>
      </c>
      <c r="F334">
        <v>1</v>
      </c>
      <c r="G334">
        <f>VLOOKUP(C334,[1]products!$B$2:$E$27,4,0)</f>
        <v>149.93</v>
      </c>
      <c r="H334">
        <f t="shared" si="5"/>
        <v>149.93</v>
      </c>
    </row>
    <row r="335" spans="1:8" x14ac:dyDescent="0.3">
      <c r="A335">
        <v>334</v>
      </c>
      <c r="B335">
        <v>23</v>
      </c>
      <c r="C335">
        <v>118</v>
      </c>
      <c r="D335" s="6">
        <v>42404</v>
      </c>
      <c r="E335" t="str">
        <f>VLOOKUP(B335,[1]pivottables!$F$2:$G$52,2,0)</f>
        <v>GBR</v>
      </c>
      <c r="F335">
        <v>3</v>
      </c>
      <c r="G335">
        <f>VLOOKUP(C335,[1]products!$B$2:$E$27,4,0)</f>
        <v>56.48</v>
      </c>
      <c r="H335">
        <f t="shared" si="5"/>
        <v>169.44</v>
      </c>
    </row>
    <row r="336" spans="1:8" x14ac:dyDescent="0.3">
      <c r="A336">
        <v>335</v>
      </c>
      <c r="B336">
        <v>46</v>
      </c>
      <c r="C336">
        <v>116</v>
      </c>
      <c r="D336" s="6">
        <v>42731</v>
      </c>
      <c r="E336" t="str">
        <f>VLOOKUP(B336,[1]pivottables!$F$2:$G$52,2,0)</f>
        <v>JPN</v>
      </c>
      <c r="F336">
        <v>4</v>
      </c>
      <c r="G336">
        <f>VLOOKUP(C336,[1]products!$B$2:$E$27,4,0)</f>
        <v>137.19999999999999</v>
      </c>
      <c r="H336">
        <f t="shared" si="5"/>
        <v>548.79999999999995</v>
      </c>
    </row>
    <row r="337" spans="1:8" x14ac:dyDescent="0.3">
      <c r="A337">
        <v>336</v>
      </c>
      <c r="B337">
        <v>17</v>
      </c>
      <c r="C337">
        <v>121</v>
      </c>
      <c r="D337" s="6">
        <v>42648</v>
      </c>
      <c r="E337" t="str">
        <f>VLOOKUP(B337,[1]pivottables!$F$2:$G$52,2,0)</f>
        <v>CAN</v>
      </c>
      <c r="F337">
        <v>5</v>
      </c>
      <c r="G337">
        <f>VLOOKUP(C337,[1]products!$B$2:$E$27,4,0)</f>
        <v>49.09</v>
      </c>
      <c r="H337">
        <f t="shared" si="5"/>
        <v>245.45000000000002</v>
      </c>
    </row>
    <row r="338" spans="1:8" x14ac:dyDescent="0.3">
      <c r="A338">
        <v>337</v>
      </c>
      <c r="B338">
        <v>29</v>
      </c>
      <c r="C338">
        <v>111</v>
      </c>
      <c r="D338" s="6">
        <v>42956</v>
      </c>
      <c r="E338" t="str">
        <f>VLOOKUP(B338,[1]pivottables!$F$2:$G$52,2,0)</f>
        <v>FRA</v>
      </c>
      <c r="F338">
        <v>5</v>
      </c>
      <c r="G338">
        <f>VLOOKUP(C338,[1]products!$B$2:$E$27,4,0)</f>
        <v>149.93</v>
      </c>
      <c r="H338">
        <f t="shared" si="5"/>
        <v>749.65000000000009</v>
      </c>
    </row>
    <row r="339" spans="1:8" x14ac:dyDescent="0.3">
      <c r="A339">
        <v>338</v>
      </c>
      <c r="B339">
        <v>37</v>
      </c>
      <c r="C339">
        <v>116</v>
      </c>
      <c r="D339" s="6">
        <v>42627</v>
      </c>
      <c r="E339" t="str">
        <f>VLOOKUP(B339,[1]pivottables!$F$2:$G$52,2,0)</f>
        <v>GBR</v>
      </c>
      <c r="F339">
        <v>4</v>
      </c>
      <c r="G339">
        <f>VLOOKUP(C339,[1]products!$B$2:$E$27,4,0)</f>
        <v>137.19999999999999</v>
      </c>
      <c r="H339">
        <f t="shared" si="5"/>
        <v>548.79999999999995</v>
      </c>
    </row>
    <row r="340" spans="1:8" x14ac:dyDescent="0.3">
      <c r="A340">
        <v>339</v>
      </c>
      <c r="B340">
        <v>39</v>
      </c>
      <c r="C340">
        <v>110</v>
      </c>
      <c r="D340" s="6">
        <v>42877</v>
      </c>
      <c r="E340" t="str">
        <f>VLOOKUP(B340,[1]pivottables!$F$2:$G$52,2,0)</f>
        <v>GBR</v>
      </c>
      <c r="F340">
        <v>4</v>
      </c>
      <c r="G340">
        <f>VLOOKUP(C340,[1]products!$B$2:$E$27,4,0)</f>
        <v>10.76</v>
      </c>
      <c r="H340">
        <f t="shared" si="5"/>
        <v>43.04</v>
      </c>
    </row>
    <row r="341" spans="1:8" x14ac:dyDescent="0.3">
      <c r="A341">
        <v>340</v>
      </c>
      <c r="B341">
        <v>20</v>
      </c>
      <c r="C341">
        <v>116</v>
      </c>
      <c r="D341" s="6">
        <v>42508</v>
      </c>
      <c r="E341" t="str">
        <f>VLOOKUP(B341,[1]pivottables!$F$2:$G$52,2,0)</f>
        <v>FRA</v>
      </c>
      <c r="F341">
        <v>2</v>
      </c>
      <c r="G341">
        <f>VLOOKUP(C341,[1]products!$B$2:$E$27,4,0)</f>
        <v>137.19999999999999</v>
      </c>
      <c r="H341">
        <f t="shared" si="5"/>
        <v>274.39999999999998</v>
      </c>
    </row>
    <row r="342" spans="1:8" x14ac:dyDescent="0.3">
      <c r="A342">
        <v>341</v>
      </c>
      <c r="B342">
        <v>8</v>
      </c>
      <c r="C342">
        <v>117</v>
      </c>
      <c r="D342" s="6">
        <v>42572</v>
      </c>
      <c r="E342" t="str">
        <f>VLOOKUP(B342,[1]pivottables!$F$2:$G$52,2,0)</f>
        <v>CZE</v>
      </c>
      <c r="F342">
        <v>3</v>
      </c>
      <c r="G342">
        <f>VLOOKUP(C342,[1]products!$B$2:$E$27,4,0)</f>
        <v>47.38</v>
      </c>
      <c r="H342">
        <f t="shared" si="5"/>
        <v>142.14000000000001</v>
      </c>
    </row>
    <row r="343" spans="1:8" x14ac:dyDescent="0.3">
      <c r="A343">
        <v>342</v>
      </c>
      <c r="B343">
        <v>27</v>
      </c>
      <c r="C343">
        <v>121</v>
      </c>
      <c r="D343" s="6">
        <v>42036</v>
      </c>
      <c r="E343" t="str">
        <f>VLOOKUP(B343,[1]pivottables!$F$2:$G$52,2,0)</f>
        <v>ITA</v>
      </c>
      <c r="F343">
        <v>3</v>
      </c>
      <c r="G343">
        <f>VLOOKUP(C343,[1]products!$B$2:$E$27,4,0)</f>
        <v>49.09</v>
      </c>
      <c r="H343">
        <f t="shared" si="5"/>
        <v>147.27000000000001</v>
      </c>
    </row>
    <row r="344" spans="1:8" x14ac:dyDescent="0.3">
      <c r="A344">
        <v>343</v>
      </c>
      <c r="B344">
        <v>28</v>
      </c>
      <c r="C344">
        <v>110</v>
      </c>
      <c r="D344" s="6">
        <v>43051</v>
      </c>
      <c r="E344" t="str">
        <f>VLOOKUP(B344,[1]pivottables!$F$2:$G$52,2,0)</f>
        <v>FRA</v>
      </c>
      <c r="F344">
        <v>5</v>
      </c>
      <c r="G344">
        <f>VLOOKUP(C344,[1]products!$B$2:$E$27,4,0)</f>
        <v>10.76</v>
      </c>
      <c r="H344">
        <f t="shared" si="5"/>
        <v>53.8</v>
      </c>
    </row>
    <row r="345" spans="1:8" x14ac:dyDescent="0.3">
      <c r="A345">
        <v>344</v>
      </c>
      <c r="B345">
        <v>37</v>
      </c>
      <c r="C345">
        <v>102</v>
      </c>
      <c r="D345" s="6">
        <v>42351</v>
      </c>
      <c r="E345" t="str">
        <f>VLOOKUP(B345,[1]pivottables!$F$2:$G$52,2,0)</f>
        <v>GBR</v>
      </c>
      <c r="F345">
        <v>3</v>
      </c>
      <c r="G345">
        <f>VLOOKUP(C345,[1]products!$B$2:$E$27,4,0)</f>
        <v>14.94</v>
      </c>
      <c r="H345">
        <f t="shared" si="5"/>
        <v>44.82</v>
      </c>
    </row>
    <row r="346" spans="1:8" x14ac:dyDescent="0.3">
      <c r="A346">
        <v>345</v>
      </c>
      <c r="B346">
        <v>29</v>
      </c>
      <c r="C346">
        <v>101</v>
      </c>
      <c r="D346" s="6">
        <v>42218</v>
      </c>
      <c r="E346" t="str">
        <f>VLOOKUP(B346,[1]pivottables!$F$2:$G$52,2,0)</f>
        <v>FRA</v>
      </c>
      <c r="F346">
        <v>1</v>
      </c>
      <c r="G346">
        <f>VLOOKUP(C346,[1]products!$B$2:$E$27,4,0)</f>
        <v>108.61</v>
      </c>
      <c r="H346">
        <f t="shared" si="5"/>
        <v>108.61</v>
      </c>
    </row>
    <row r="347" spans="1:8" x14ac:dyDescent="0.3">
      <c r="A347">
        <v>346</v>
      </c>
      <c r="B347">
        <v>34</v>
      </c>
      <c r="C347">
        <v>125</v>
      </c>
      <c r="D347" s="6">
        <v>42203</v>
      </c>
      <c r="E347" t="str">
        <f>VLOOKUP(B347,[1]pivottables!$F$2:$G$52,2,0)</f>
        <v>CAN</v>
      </c>
      <c r="F347">
        <v>2</v>
      </c>
      <c r="G347">
        <f>VLOOKUP(C347,[1]products!$B$2:$E$27,4,0)</f>
        <v>90.44</v>
      </c>
      <c r="H347">
        <f t="shared" si="5"/>
        <v>180.88</v>
      </c>
    </row>
    <row r="348" spans="1:8" x14ac:dyDescent="0.3">
      <c r="A348">
        <v>347</v>
      </c>
      <c r="B348">
        <v>23</v>
      </c>
      <c r="C348">
        <v>110</v>
      </c>
      <c r="D348" s="6">
        <v>42226</v>
      </c>
      <c r="E348" t="str">
        <f>VLOOKUP(B348,[1]pivottables!$F$2:$G$52,2,0)</f>
        <v>GBR</v>
      </c>
      <c r="F348">
        <v>3</v>
      </c>
      <c r="G348">
        <f>VLOOKUP(C348,[1]products!$B$2:$E$27,4,0)</f>
        <v>10.76</v>
      </c>
      <c r="H348">
        <f t="shared" si="5"/>
        <v>32.28</v>
      </c>
    </row>
    <row r="349" spans="1:8" x14ac:dyDescent="0.3">
      <c r="A349">
        <v>348</v>
      </c>
      <c r="B349">
        <v>47</v>
      </c>
      <c r="C349">
        <v>105</v>
      </c>
      <c r="D349" s="6">
        <v>42270</v>
      </c>
      <c r="E349" t="str">
        <f>VLOOKUP(B349,[1]pivottables!$F$2:$G$52,2,0)</f>
        <v>CHN</v>
      </c>
      <c r="F349">
        <v>1</v>
      </c>
      <c r="G349">
        <f>VLOOKUP(C349,[1]products!$B$2:$E$27,4,0)</f>
        <v>149.93</v>
      </c>
      <c r="H349">
        <f t="shared" si="5"/>
        <v>149.93</v>
      </c>
    </row>
    <row r="350" spans="1:8" x14ac:dyDescent="0.3">
      <c r="A350">
        <v>349</v>
      </c>
      <c r="B350">
        <v>25</v>
      </c>
      <c r="C350">
        <v>109</v>
      </c>
      <c r="D350" s="6">
        <v>42029</v>
      </c>
      <c r="E350" t="str">
        <f>VLOOKUP(B350,[1]pivottables!$F$2:$G$52,2,0)</f>
        <v>CHN</v>
      </c>
      <c r="F350">
        <v>2</v>
      </c>
      <c r="G350">
        <f>VLOOKUP(C350,[1]products!$B$2:$E$27,4,0)</f>
        <v>143.97999999999999</v>
      </c>
      <c r="H350">
        <f t="shared" si="5"/>
        <v>287.95999999999998</v>
      </c>
    </row>
    <row r="351" spans="1:8" x14ac:dyDescent="0.3">
      <c r="A351">
        <v>350</v>
      </c>
      <c r="B351">
        <v>3</v>
      </c>
      <c r="C351">
        <v>115</v>
      </c>
      <c r="D351" s="6">
        <v>42061</v>
      </c>
      <c r="E351" t="str">
        <f>VLOOKUP(B351,[1]pivottables!$F$2:$G$52,2,0)</f>
        <v>NLD</v>
      </c>
      <c r="F351">
        <v>4</v>
      </c>
      <c r="G351">
        <f>VLOOKUP(C351,[1]products!$B$2:$E$27,4,0)</f>
        <v>22.55</v>
      </c>
      <c r="H351">
        <f t="shared" si="5"/>
        <v>90.2</v>
      </c>
    </row>
    <row r="352" spans="1:8" x14ac:dyDescent="0.3">
      <c r="A352">
        <v>351</v>
      </c>
      <c r="B352">
        <v>2</v>
      </c>
      <c r="C352">
        <v>100</v>
      </c>
      <c r="D352" s="6">
        <v>42951</v>
      </c>
      <c r="E352" t="str">
        <f>VLOOKUP(B352,[1]pivottables!$F$2:$G$52,2,0)</f>
        <v>CZE</v>
      </c>
      <c r="F352">
        <v>3</v>
      </c>
      <c r="G352">
        <f>VLOOKUP(C352,[1]products!$B$2:$E$27,4,0)</f>
        <v>30.29</v>
      </c>
      <c r="H352">
        <f t="shared" si="5"/>
        <v>90.87</v>
      </c>
    </row>
    <row r="353" spans="1:8" x14ac:dyDescent="0.3">
      <c r="A353">
        <v>352</v>
      </c>
      <c r="B353">
        <v>17</v>
      </c>
      <c r="C353">
        <v>101</v>
      </c>
      <c r="D353" s="6">
        <v>42920</v>
      </c>
      <c r="E353" t="str">
        <f>VLOOKUP(B353,[1]pivottables!$F$2:$G$52,2,0)</f>
        <v>CAN</v>
      </c>
      <c r="F353">
        <v>4</v>
      </c>
      <c r="G353">
        <f>VLOOKUP(C353,[1]products!$B$2:$E$27,4,0)</f>
        <v>108.61</v>
      </c>
      <c r="H353">
        <f t="shared" si="5"/>
        <v>434.44</v>
      </c>
    </row>
    <row r="354" spans="1:8" x14ac:dyDescent="0.3">
      <c r="A354">
        <v>353</v>
      </c>
      <c r="B354">
        <v>35</v>
      </c>
      <c r="C354">
        <v>115</v>
      </c>
      <c r="D354" s="6">
        <v>42611</v>
      </c>
      <c r="E354" t="str">
        <f>VLOOKUP(B354,[1]pivottables!$F$2:$G$52,2,0)</f>
        <v>JPN</v>
      </c>
      <c r="F354">
        <v>1</v>
      </c>
      <c r="G354">
        <f>VLOOKUP(C354,[1]products!$B$2:$E$27,4,0)</f>
        <v>22.55</v>
      </c>
      <c r="H354">
        <f t="shared" si="5"/>
        <v>22.55</v>
      </c>
    </row>
    <row r="355" spans="1:8" x14ac:dyDescent="0.3">
      <c r="A355">
        <v>354</v>
      </c>
      <c r="B355">
        <v>35</v>
      </c>
      <c r="C355">
        <v>118</v>
      </c>
      <c r="D355" s="6">
        <v>42078</v>
      </c>
      <c r="E355" t="str">
        <f>VLOOKUP(B355,[1]pivottables!$F$2:$G$52,2,0)</f>
        <v>JPN</v>
      </c>
      <c r="F355">
        <v>5</v>
      </c>
      <c r="G355">
        <f>VLOOKUP(C355,[1]products!$B$2:$E$27,4,0)</f>
        <v>56.48</v>
      </c>
      <c r="H355">
        <f t="shared" si="5"/>
        <v>282.39999999999998</v>
      </c>
    </row>
    <row r="356" spans="1:8" x14ac:dyDescent="0.3">
      <c r="A356">
        <v>355</v>
      </c>
      <c r="B356">
        <v>24</v>
      </c>
      <c r="C356">
        <v>108</v>
      </c>
      <c r="D356" s="6">
        <v>43042</v>
      </c>
      <c r="E356" t="str">
        <f>VLOOKUP(B356,[1]pivottables!$F$2:$G$52,2,0)</f>
        <v>NLD</v>
      </c>
      <c r="F356">
        <v>1</v>
      </c>
      <c r="G356">
        <f>VLOOKUP(C356,[1]products!$B$2:$E$27,4,0)</f>
        <v>137.97999999999999</v>
      </c>
      <c r="H356">
        <f t="shared" si="5"/>
        <v>137.97999999999999</v>
      </c>
    </row>
    <row r="357" spans="1:8" x14ac:dyDescent="0.3">
      <c r="A357">
        <v>356</v>
      </c>
      <c r="B357">
        <v>19</v>
      </c>
      <c r="C357">
        <v>103</v>
      </c>
      <c r="D357" s="6">
        <v>43010</v>
      </c>
      <c r="E357" t="str">
        <f>VLOOKUP(B357,[1]pivottables!$F$2:$G$52,2,0)</f>
        <v>NLD</v>
      </c>
      <c r="F357">
        <v>5</v>
      </c>
      <c r="G357">
        <f>VLOOKUP(C357,[1]products!$B$2:$E$27,4,0)</f>
        <v>108.96</v>
      </c>
      <c r="H357">
        <f t="shared" si="5"/>
        <v>544.79999999999995</v>
      </c>
    </row>
    <row r="358" spans="1:8" x14ac:dyDescent="0.3">
      <c r="A358">
        <v>357</v>
      </c>
      <c r="B358">
        <v>41</v>
      </c>
      <c r="C358">
        <v>125</v>
      </c>
      <c r="D358" s="6">
        <v>42143</v>
      </c>
      <c r="E358" t="str">
        <f>VLOOKUP(B358,[1]pivottables!$F$2:$G$52,2,0)</f>
        <v>FRA</v>
      </c>
      <c r="F358">
        <v>5</v>
      </c>
      <c r="G358">
        <f>VLOOKUP(C358,[1]products!$B$2:$E$27,4,0)</f>
        <v>90.44</v>
      </c>
      <c r="H358">
        <f t="shared" si="5"/>
        <v>452.2</v>
      </c>
    </row>
    <row r="359" spans="1:8" x14ac:dyDescent="0.3">
      <c r="A359">
        <v>358</v>
      </c>
      <c r="B359">
        <v>48</v>
      </c>
      <c r="C359">
        <v>110</v>
      </c>
      <c r="D359" s="6">
        <v>42407</v>
      </c>
      <c r="E359" t="str">
        <f>VLOOKUP(B359,[1]pivottables!$F$2:$G$52,2,0)</f>
        <v>GBR</v>
      </c>
      <c r="F359">
        <v>4</v>
      </c>
      <c r="G359">
        <f>VLOOKUP(C359,[1]products!$B$2:$E$27,4,0)</f>
        <v>10.76</v>
      </c>
      <c r="H359">
        <f t="shared" si="5"/>
        <v>43.04</v>
      </c>
    </row>
    <row r="360" spans="1:8" x14ac:dyDescent="0.3">
      <c r="A360">
        <v>359</v>
      </c>
      <c r="B360">
        <v>22</v>
      </c>
      <c r="C360">
        <v>113</v>
      </c>
      <c r="D360" s="6">
        <v>42409</v>
      </c>
      <c r="E360" t="str">
        <f>VLOOKUP(B360,[1]pivottables!$F$2:$G$52,2,0)</f>
        <v>FRA</v>
      </c>
      <c r="F360">
        <v>1</v>
      </c>
      <c r="G360">
        <f>VLOOKUP(C360,[1]products!$B$2:$E$27,4,0)</f>
        <v>9.89</v>
      </c>
      <c r="H360">
        <f t="shared" si="5"/>
        <v>9.89</v>
      </c>
    </row>
    <row r="361" spans="1:8" x14ac:dyDescent="0.3">
      <c r="A361">
        <v>360</v>
      </c>
      <c r="B361">
        <v>41</v>
      </c>
      <c r="C361">
        <v>124</v>
      </c>
      <c r="D361" s="6">
        <v>42628</v>
      </c>
      <c r="E361" t="str">
        <f>VLOOKUP(B361,[1]pivottables!$F$2:$G$52,2,0)</f>
        <v>FRA</v>
      </c>
      <c r="F361">
        <v>1</v>
      </c>
      <c r="G361">
        <f>VLOOKUP(C361,[1]products!$B$2:$E$27,4,0)</f>
        <v>108.54</v>
      </c>
      <c r="H361">
        <f t="shared" si="5"/>
        <v>108.54</v>
      </c>
    </row>
    <row r="362" spans="1:8" x14ac:dyDescent="0.3">
      <c r="A362">
        <v>361</v>
      </c>
      <c r="B362">
        <v>37</v>
      </c>
      <c r="C362">
        <v>117</v>
      </c>
      <c r="D362" s="6">
        <v>42216</v>
      </c>
      <c r="E362" t="str">
        <f>VLOOKUP(B362,[1]pivottables!$F$2:$G$52,2,0)</f>
        <v>GBR</v>
      </c>
      <c r="F362">
        <v>3</v>
      </c>
      <c r="G362">
        <f>VLOOKUP(C362,[1]products!$B$2:$E$27,4,0)</f>
        <v>47.38</v>
      </c>
      <c r="H362">
        <f t="shared" si="5"/>
        <v>142.14000000000001</v>
      </c>
    </row>
    <row r="363" spans="1:8" x14ac:dyDescent="0.3">
      <c r="A363">
        <v>362</v>
      </c>
      <c r="B363">
        <v>22</v>
      </c>
      <c r="C363">
        <v>116</v>
      </c>
      <c r="D363" s="6">
        <v>42026</v>
      </c>
      <c r="E363" t="str">
        <f>VLOOKUP(B363,[1]pivottables!$F$2:$G$52,2,0)</f>
        <v>FRA</v>
      </c>
      <c r="F363">
        <v>5</v>
      </c>
      <c r="G363">
        <f>VLOOKUP(C363,[1]products!$B$2:$E$27,4,0)</f>
        <v>137.19999999999999</v>
      </c>
      <c r="H363">
        <f t="shared" si="5"/>
        <v>686</v>
      </c>
    </row>
    <row r="364" spans="1:8" x14ac:dyDescent="0.3">
      <c r="A364">
        <v>363</v>
      </c>
      <c r="B364">
        <v>45</v>
      </c>
      <c r="C364">
        <v>110</v>
      </c>
      <c r="D364" s="6">
        <v>42377</v>
      </c>
      <c r="E364" t="str">
        <f>VLOOKUP(B364,[1]pivottables!$F$2:$G$52,2,0)</f>
        <v>NLD</v>
      </c>
      <c r="F364">
        <v>4</v>
      </c>
      <c r="G364">
        <f>VLOOKUP(C364,[1]products!$B$2:$E$27,4,0)</f>
        <v>10.76</v>
      </c>
      <c r="H364">
        <f t="shared" si="5"/>
        <v>43.04</v>
      </c>
    </row>
    <row r="365" spans="1:8" x14ac:dyDescent="0.3">
      <c r="A365">
        <v>364</v>
      </c>
      <c r="B365">
        <v>33</v>
      </c>
      <c r="C365">
        <v>102</v>
      </c>
      <c r="D365" s="6">
        <v>42766</v>
      </c>
      <c r="E365" t="str">
        <f>VLOOKUP(B365,[1]pivottables!$F$2:$G$52,2,0)</f>
        <v>NLD</v>
      </c>
      <c r="F365">
        <v>4</v>
      </c>
      <c r="G365">
        <f>VLOOKUP(C365,[1]products!$B$2:$E$27,4,0)</f>
        <v>14.94</v>
      </c>
      <c r="H365">
        <f t="shared" si="5"/>
        <v>59.76</v>
      </c>
    </row>
    <row r="366" spans="1:8" x14ac:dyDescent="0.3">
      <c r="A366">
        <v>365</v>
      </c>
      <c r="B366">
        <v>9</v>
      </c>
      <c r="C366">
        <v>121</v>
      </c>
      <c r="D366" s="6">
        <v>43034</v>
      </c>
      <c r="E366" t="str">
        <f>VLOOKUP(B366,[1]pivottables!$F$2:$G$52,2,0)</f>
        <v>HUN</v>
      </c>
      <c r="F366">
        <v>4</v>
      </c>
      <c r="G366">
        <f>VLOOKUP(C366,[1]products!$B$2:$E$27,4,0)</f>
        <v>49.09</v>
      </c>
      <c r="H366">
        <f t="shared" si="5"/>
        <v>196.36</v>
      </c>
    </row>
    <row r="367" spans="1:8" x14ac:dyDescent="0.3">
      <c r="A367">
        <v>366</v>
      </c>
      <c r="B367">
        <v>37</v>
      </c>
      <c r="C367">
        <v>120</v>
      </c>
      <c r="D367" s="6">
        <v>42145</v>
      </c>
      <c r="E367" t="str">
        <f>VLOOKUP(B367,[1]pivottables!$F$2:$G$52,2,0)</f>
        <v>GBR</v>
      </c>
      <c r="F367">
        <v>2</v>
      </c>
      <c r="G367">
        <f>VLOOKUP(C367,[1]products!$B$2:$E$27,4,0)</f>
        <v>17.13</v>
      </c>
      <c r="H367">
        <f t="shared" si="5"/>
        <v>34.26</v>
      </c>
    </row>
    <row r="368" spans="1:8" x14ac:dyDescent="0.3">
      <c r="A368">
        <v>367</v>
      </c>
      <c r="B368">
        <v>11</v>
      </c>
      <c r="C368">
        <v>107</v>
      </c>
      <c r="D368" s="6">
        <v>42289</v>
      </c>
      <c r="E368" t="str">
        <f>VLOOKUP(B368,[1]pivottables!$F$2:$G$52,2,0)</f>
        <v>ITA</v>
      </c>
      <c r="F368">
        <v>3</v>
      </c>
      <c r="G368">
        <f>VLOOKUP(C368,[1]products!$B$2:$E$27,4,0)</f>
        <v>43.1</v>
      </c>
      <c r="H368">
        <f t="shared" si="5"/>
        <v>129.30000000000001</v>
      </c>
    </row>
    <row r="369" spans="1:8" x14ac:dyDescent="0.3">
      <c r="A369">
        <v>368</v>
      </c>
      <c r="B369">
        <v>25</v>
      </c>
      <c r="C369">
        <v>114</v>
      </c>
      <c r="D369" s="6">
        <v>42142</v>
      </c>
      <c r="E369" t="str">
        <f>VLOOKUP(B369,[1]pivottables!$F$2:$G$52,2,0)</f>
        <v>CHN</v>
      </c>
      <c r="F369">
        <v>5</v>
      </c>
      <c r="G369">
        <f>VLOOKUP(C369,[1]products!$B$2:$E$27,4,0)</f>
        <v>74.38</v>
      </c>
      <c r="H369">
        <f t="shared" si="5"/>
        <v>371.9</v>
      </c>
    </row>
    <row r="370" spans="1:8" x14ac:dyDescent="0.3">
      <c r="A370">
        <v>369</v>
      </c>
      <c r="B370">
        <v>49</v>
      </c>
      <c r="C370">
        <v>102</v>
      </c>
      <c r="D370" s="6">
        <v>42994</v>
      </c>
      <c r="E370" t="str">
        <f>VLOOKUP(B370,[1]pivottables!$F$2:$G$52,2,0)</f>
        <v>JPN</v>
      </c>
      <c r="F370">
        <v>5</v>
      </c>
      <c r="G370">
        <f>VLOOKUP(C370,[1]products!$B$2:$E$27,4,0)</f>
        <v>14.94</v>
      </c>
      <c r="H370">
        <f t="shared" si="5"/>
        <v>74.7</v>
      </c>
    </row>
    <row r="371" spans="1:8" x14ac:dyDescent="0.3">
      <c r="A371">
        <v>370</v>
      </c>
      <c r="B371">
        <v>7</v>
      </c>
      <c r="C371">
        <v>111</v>
      </c>
      <c r="D371" s="6">
        <v>42471</v>
      </c>
      <c r="E371" t="str">
        <f>VLOOKUP(B371,[1]pivottables!$F$2:$G$52,2,0)</f>
        <v>CAN</v>
      </c>
      <c r="F371">
        <v>3</v>
      </c>
      <c r="G371">
        <f>VLOOKUP(C371,[1]products!$B$2:$E$27,4,0)</f>
        <v>149.93</v>
      </c>
      <c r="H371">
        <f t="shared" si="5"/>
        <v>449.79</v>
      </c>
    </row>
    <row r="372" spans="1:8" x14ac:dyDescent="0.3">
      <c r="A372">
        <v>371</v>
      </c>
      <c r="B372">
        <v>22</v>
      </c>
      <c r="C372">
        <v>103</v>
      </c>
      <c r="D372" s="6">
        <v>42598</v>
      </c>
      <c r="E372" t="str">
        <f>VLOOKUP(B372,[1]pivottables!$F$2:$G$52,2,0)</f>
        <v>FRA</v>
      </c>
      <c r="F372">
        <v>5</v>
      </c>
      <c r="G372">
        <f>VLOOKUP(C372,[1]products!$B$2:$E$27,4,0)</f>
        <v>108.96</v>
      </c>
      <c r="H372">
        <f t="shared" si="5"/>
        <v>544.79999999999995</v>
      </c>
    </row>
    <row r="373" spans="1:8" x14ac:dyDescent="0.3">
      <c r="A373">
        <v>372</v>
      </c>
      <c r="B373">
        <v>29</v>
      </c>
      <c r="C373">
        <v>107</v>
      </c>
      <c r="D373" s="6">
        <v>42415</v>
      </c>
      <c r="E373" t="str">
        <f>VLOOKUP(B373,[1]pivottables!$F$2:$G$52,2,0)</f>
        <v>FRA</v>
      </c>
      <c r="F373">
        <v>3</v>
      </c>
      <c r="G373">
        <f>VLOOKUP(C373,[1]products!$B$2:$E$27,4,0)</f>
        <v>43.1</v>
      </c>
      <c r="H373">
        <f t="shared" si="5"/>
        <v>129.30000000000001</v>
      </c>
    </row>
    <row r="374" spans="1:8" x14ac:dyDescent="0.3">
      <c r="A374">
        <v>373</v>
      </c>
      <c r="B374">
        <v>39</v>
      </c>
      <c r="C374">
        <v>120</v>
      </c>
      <c r="D374" s="6">
        <v>42806</v>
      </c>
      <c r="E374" t="str">
        <f>VLOOKUP(B374,[1]pivottables!$F$2:$G$52,2,0)</f>
        <v>GBR</v>
      </c>
      <c r="F374">
        <v>5</v>
      </c>
      <c r="G374">
        <f>VLOOKUP(C374,[1]products!$B$2:$E$27,4,0)</f>
        <v>17.13</v>
      </c>
      <c r="H374">
        <f t="shared" si="5"/>
        <v>85.649999999999991</v>
      </c>
    </row>
    <row r="375" spans="1:8" x14ac:dyDescent="0.3">
      <c r="A375">
        <v>374</v>
      </c>
      <c r="B375">
        <v>35</v>
      </c>
      <c r="C375">
        <v>104</v>
      </c>
      <c r="D375" s="6">
        <v>42212</v>
      </c>
      <c r="E375" t="str">
        <f>VLOOKUP(B375,[1]pivottables!$F$2:$G$52,2,0)</f>
        <v>JPN</v>
      </c>
      <c r="F375">
        <v>1</v>
      </c>
      <c r="G375">
        <f>VLOOKUP(C375,[1]products!$B$2:$E$27,4,0)</f>
        <v>122.18</v>
      </c>
      <c r="H375">
        <f t="shared" si="5"/>
        <v>122.18</v>
      </c>
    </row>
    <row r="376" spans="1:8" x14ac:dyDescent="0.3">
      <c r="A376">
        <v>375</v>
      </c>
      <c r="B376">
        <v>48</v>
      </c>
      <c r="C376">
        <v>120</v>
      </c>
      <c r="D376" s="6">
        <v>42632</v>
      </c>
      <c r="E376" t="str">
        <f>VLOOKUP(B376,[1]pivottables!$F$2:$G$52,2,0)</f>
        <v>GBR</v>
      </c>
      <c r="F376">
        <v>4</v>
      </c>
      <c r="G376">
        <f>VLOOKUP(C376,[1]products!$B$2:$E$27,4,0)</f>
        <v>17.13</v>
      </c>
      <c r="H376">
        <f t="shared" si="5"/>
        <v>68.52</v>
      </c>
    </row>
    <row r="377" spans="1:8" x14ac:dyDescent="0.3">
      <c r="A377">
        <v>376</v>
      </c>
      <c r="B377">
        <v>11</v>
      </c>
      <c r="C377">
        <v>124</v>
      </c>
      <c r="D377" s="6">
        <v>42741</v>
      </c>
      <c r="E377" t="str">
        <f>VLOOKUP(B377,[1]pivottables!$F$2:$G$52,2,0)</f>
        <v>ITA</v>
      </c>
      <c r="F377">
        <v>4</v>
      </c>
      <c r="G377">
        <f>VLOOKUP(C377,[1]products!$B$2:$E$27,4,0)</f>
        <v>108.54</v>
      </c>
      <c r="H377">
        <f t="shared" si="5"/>
        <v>434.16</v>
      </c>
    </row>
    <row r="378" spans="1:8" x14ac:dyDescent="0.3">
      <c r="A378">
        <v>377</v>
      </c>
      <c r="B378">
        <v>30</v>
      </c>
      <c r="C378">
        <v>114</v>
      </c>
      <c r="D378" s="6">
        <v>42010</v>
      </c>
      <c r="E378" t="str">
        <f>VLOOKUP(B378,[1]pivottables!$F$2:$G$52,2,0)</f>
        <v>FRA</v>
      </c>
      <c r="F378">
        <v>3</v>
      </c>
      <c r="G378">
        <f>VLOOKUP(C378,[1]products!$B$2:$E$27,4,0)</f>
        <v>74.38</v>
      </c>
      <c r="H378">
        <f t="shared" si="5"/>
        <v>223.14</v>
      </c>
    </row>
    <row r="379" spans="1:8" x14ac:dyDescent="0.3">
      <c r="A379">
        <v>378</v>
      </c>
      <c r="B379">
        <v>22</v>
      </c>
      <c r="C379">
        <v>113</v>
      </c>
      <c r="D379" s="6">
        <v>42160</v>
      </c>
      <c r="E379" t="str">
        <f>VLOOKUP(B379,[1]pivottables!$F$2:$G$52,2,0)</f>
        <v>FRA</v>
      </c>
      <c r="F379">
        <v>4</v>
      </c>
      <c r="G379">
        <f>VLOOKUP(C379,[1]products!$B$2:$E$27,4,0)</f>
        <v>9.89</v>
      </c>
      <c r="H379">
        <f t="shared" si="5"/>
        <v>39.56</v>
      </c>
    </row>
    <row r="380" spans="1:8" x14ac:dyDescent="0.3">
      <c r="A380">
        <v>379</v>
      </c>
      <c r="B380">
        <v>14</v>
      </c>
      <c r="C380">
        <v>103</v>
      </c>
      <c r="D380" s="6">
        <v>42839</v>
      </c>
      <c r="E380" t="str">
        <f>VLOOKUP(B380,[1]pivottables!$F$2:$G$52,2,0)</f>
        <v>CZE</v>
      </c>
      <c r="F380">
        <v>1</v>
      </c>
      <c r="G380">
        <f>VLOOKUP(C380,[1]products!$B$2:$E$27,4,0)</f>
        <v>108.96</v>
      </c>
      <c r="H380">
        <f t="shared" si="5"/>
        <v>108.96</v>
      </c>
    </row>
    <row r="381" spans="1:8" x14ac:dyDescent="0.3">
      <c r="A381">
        <v>380</v>
      </c>
      <c r="B381">
        <v>32</v>
      </c>
      <c r="C381">
        <v>117</v>
      </c>
      <c r="D381" s="6">
        <v>42261</v>
      </c>
      <c r="E381" t="str">
        <f>VLOOKUP(B381,[1]pivottables!$F$2:$G$52,2,0)</f>
        <v>NLD</v>
      </c>
      <c r="F381">
        <v>2</v>
      </c>
      <c r="G381">
        <f>VLOOKUP(C381,[1]products!$B$2:$E$27,4,0)</f>
        <v>47.38</v>
      </c>
      <c r="H381">
        <f t="shared" si="5"/>
        <v>94.76</v>
      </c>
    </row>
    <row r="382" spans="1:8" x14ac:dyDescent="0.3">
      <c r="A382">
        <v>381</v>
      </c>
      <c r="B382">
        <v>39</v>
      </c>
      <c r="C382">
        <v>100</v>
      </c>
      <c r="D382" s="6">
        <v>43015</v>
      </c>
      <c r="E382" t="str">
        <f>VLOOKUP(B382,[1]pivottables!$F$2:$G$52,2,0)</f>
        <v>GBR</v>
      </c>
      <c r="F382">
        <v>1</v>
      </c>
      <c r="G382">
        <f>VLOOKUP(C382,[1]products!$B$2:$E$27,4,0)</f>
        <v>30.29</v>
      </c>
      <c r="H382">
        <f t="shared" si="5"/>
        <v>30.29</v>
      </c>
    </row>
    <row r="383" spans="1:8" x14ac:dyDescent="0.3">
      <c r="A383">
        <v>382</v>
      </c>
      <c r="B383">
        <v>30</v>
      </c>
      <c r="C383">
        <v>110</v>
      </c>
      <c r="D383" s="6">
        <v>42160</v>
      </c>
      <c r="E383" t="str">
        <f>VLOOKUP(B383,[1]pivottables!$F$2:$G$52,2,0)</f>
        <v>FRA</v>
      </c>
      <c r="F383">
        <v>5</v>
      </c>
      <c r="G383">
        <f>VLOOKUP(C383,[1]products!$B$2:$E$27,4,0)</f>
        <v>10.76</v>
      </c>
      <c r="H383">
        <f t="shared" si="5"/>
        <v>53.8</v>
      </c>
    </row>
    <row r="384" spans="1:8" x14ac:dyDescent="0.3">
      <c r="A384">
        <v>383</v>
      </c>
      <c r="B384">
        <v>21</v>
      </c>
      <c r="C384">
        <v>114</v>
      </c>
      <c r="D384" s="6">
        <v>42101</v>
      </c>
      <c r="E384" t="str">
        <f>VLOOKUP(B384,[1]pivottables!$F$2:$G$52,2,0)</f>
        <v>HUN</v>
      </c>
      <c r="F384">
        <v>4</v>
      </c>
      <c r="G384">
        <f>VLOOKUP(C384,[1]products!$B$2:$E$27,4,0)</f>
        <v>74.38</v>
      </c>
      <c r="H384">
        <f t="shared" si="5"/>
        <v>297.52</v>
      </c>
    </row>
    <row r="385" spans="1:8" x14ac:dyDescent="0.3">
      <c r="A385">
        <v>384</v>
      </c>
      <c r="B385">
        <v>19</v>
      </c>
      <c r="C385">
        <v>103</v>
      </c>
      <c r="D385" s="6">
        <v>42558</v>
      </c>
      <c r="E385" t="str">
        <f>VLOOKUP(B385,[1]pivottables!$F$2:$G$52,2,0)</f>
        <v>NLD</v>
      </c>
      <c r="F385">
        <v>2</v>
      </c>
      <c r="G385">
        <f>VLOOKUP(C385,[1]products!$B$2:$E$27,4,0)</f>
        <v>108.96</v>
      </c>
      <c r="H385">
        <f t="shared" si="5"/>
        <v>217.92</v>
      </c>
    </row>
    <row r="386" spans="1:8" x14ac:dyDescent="0.3">
      <c r="A386">
        <v>385</v>
      </c>
      <c r="B386">
        <v>27</v>
      </c>
      <c r="C386">
        <v>122</v>
      </c>
      <c r="D386" s="6">
        <v>42349</v>
      </c>
      <c r="E386" t="str">
        <f>VLOOKUP(B386,[1]pivottables!$F$2:$G$52,2,0)</f>
        <v>ITA</v>
      </c>
      <c r="F386">
        <v>5</v>
      </c>
      <c r="G386">
        <f>VLOOKUP(C386,[1]products!$B$2:$E$27,4,0)</f>
        <v>32.64</v>
      </c>
      <c r="H386">
        <f t="shared" si="5"/>
        <v>163.19999999999999</v>
      </c>
    </row>
    <row r="387" spans="1:8" x14ac:dyDescent="0.3">
      <c r="A387">
        <v>386</v>
      </c>
      <c r="B387">
        <v>10</v>
      </c>
      <c r="C387">
        <v>110</v>
      </c>
      <c r="D387" s="6">
        <v>42510</v>
      </c>
      <c r="E387" t="str">
        <f>VLOOKUP(B387,[1]pivottables!$F$2:$G$52,2,0)</f>
        <v>NLD</v>
      </c>
      <c r="F387">
        <v>4</v>
      </c>
      <c r="G387">
        <f>VLOOKUP(C387,[1]products!$B$2:$E$27,4,0)</f>
        <v>10.76</v>
      </c>
      <c r="H387">
        <f t="shared" ref="H387:H450" si="6">G387*F387</f>
        <v>43.04</v>
      </c>
    </row>
    <row r="388" spans="1:8" x14ac:dyDescent="0.3">
      <c r="A388">
        <v>387</v>
      </c>
      <c r="B388">
        <v>25</v>
      </c>
      <c r="C388">
        <v>101</v>
      </c>
      <c r="D388" s="6">
        <v>42426</v>
      </c>
      <c r="E388" t="str">
        <f>VLOOKUP(B388,[1]pivottables!$F$2:$G$52,2,0)</f>
        <v>CHN</v>
      </c>
      <c r="F388">
        <v>2</v>
      </c>
      <c r="G388">
        <f>VLOOKUP(C388,[1]products!$B$2:$E$27,4,0)</f>
        <v>108.61</v>
      </c>
      <c r="H388">
        <f t="shared" si="6"/>
        <v>217.22</v>
      </c>
    </row>
    <row r="389" spans="1:8" x14ac:dyDescent="0.3">
      <c r="A389">
        <v>388</v>
      </c>
      <c r="B389">
        <v>24</v>
      </c>
      <c r="C389">
        <v>120</v>
      </c>
      <c r="D389" s="6">
        <v>42118</v>
      </c>
      <c r="E389" t="str">
        <f>VLOOKUP(B389,[1]pivottables!$F$2:$G$52,2,0)</f>
        <v>NLD</v>
      </c>
      <c r="F389">
        <v>4</v>
      </c>
      <c r="G389">
        <f>VLOOKUP(C389,[1]products!$B$2:$E$27,4,0)</f>
        <v>17.13</v>
      </c>
      <c r="H389">
        <f t="shared" si="6"/>
        <v>68.52</v>
      </c>
    </row>
    <row r="390" spans="1:8" x14ac:dyDescent="0.3">
      <c r="A390">
        <v>389</v>
      </c>
      <c r="B390">
        <v>29</v>
      </c>
      <c r="C390">
        <v>121</v>
      </c>
      <c r="D390" s="6">
        <v>42582</v>
      </c>
      <c r="E390" t="str">
        <f>VLOOKUP(B390,[1]pivottables!$F$2:$G$52,2,0)</f>
        <v>FRA</v>
      </c>
      <c r="F390">
        <v>2</v>
      </c>
      <c r="G390">
        <f>VLOOKUP(C390,[1]products!$B$2:$E$27,4,0)</f>
        <v>49.09</v>
      </c>
      <c r="H390">
        <f t="shared" si="6"/>
        <v>98.18</v>
      </c>
    </row>
    <row r="391" spans="1:8" x14ac:dyDescent="0.3">
      <c r="A391">
        <v>390</v>
      </c>
      <c r="B391">
        <v>42</v>
      </c>
      <c r="C391">
        <v>104</v>
      </c>
      <c r="D391" s="6">
        <v>42607</v>
      </c>
      <c r="E391" t="str">
        <f>VLOOKUP(B391,[1]pivottables!$F$2:$G$52,2,0)</f>
        <v>HUN</v>
      </c>
      <c r="F391">
        <v>2</v>
      </c>
      <c r="G391">
        <f>VLOOKUP(C391,[1]products!$B$2:$E$27,4,0)</f>
        <v>122.18</v>
      </c>
      <c r="H391">
        <f t="shared" si="6"/>
        <v>244.36</v>
      </c>
    </row>
    <row r="392" spans="1:8" x14ac:dyDescent="0.3">
      <c r="A392">
        <v>391</v>
      </c>
      <c r="B392">
        <v>45</v>
      </c>
      <c r="C392">
        <v>103</v>
      </c>
      <c r="D392" s="6">
        <v>42707</v>
      </c>
      <c r="E392" t="str">
        <f>VLOOKUP(B392,[1]pivottables!$F$2:$G$52,2,0)</f>
        <v>NLD</v>
      </c>
      <c r="F392">
        <v>3</v>
      </c>
      <c r="G392">
        <f>VLOOKUP(C392,[1]products!$B$2:$E$27,4,0)</f>
        <v>108.96</v>
      </c>
      <c r="H392">
        <f t="shared" si="6"/>
        <v>326.88</v>
      </c>
    </row>
    <row r="393" spans="1:8" x14ac:dyDescent="0.3">
      <c r="A393">
        <v>392</v>
      </c>
      <c r="B393">
        <v>5</v>
      </c>
      <c r="C393">
        <v>123</v>
      </c>
      <c r="D393" s="6">
        <v>42973</v>
      </c>
      <c r="E393" t="str">
        <f>VLOOKUP(B393,[1]pivottables!$F$2:$G$52,2,0)</f>
        <v>USA</v>
      </c>
      <c r="F393">
        <v>4</v>
      </c>
      <c r="G393">
        <f>VLOOKUP(C393,[1]products!$B$2:$E$27,4,0)</f>
        <v>39.67</v>
      </c>
      <c r="H393">
        <f t="shared" si="6"/>
        <v>158.68</v>
      </c>
    </row>
    <row r="394" spans="1:8" x14ac:dyDescent="0.3">
      <c r="A394">
        <v>393</v>
      </c>
      <c r="B394">
        <v>14</v>
      </c>
      <c r="C394">
        <v>110</v>
      </c>
      <c r="D394" s="6">
        <v>42283</v>
      </c>
      <c r="E394" t="str">
        <f>VLOOKUP(B394,[1]pivottables!$F$2:$G$52,2,0)</f>
        <v>CZE</v>
      </c>
      <c r="F394">
        <v>3</v>
      </c>
      <c r="G394">
        <f>VLOOKUP(C394,[1]products!$B$2:$E$27,4,0)</f>
        <v>10.76</v>
      </c>
      <c r="H394">
        <f t="shared" si="6"/>
        <v>32.28</v>
      </c>
    </row>
    <row r="395" spans="1:8" x14ac:dyDescent="0.3">
      <c r="A395">
        <v>394</v>
      </c>
      <c r="B395">
        <v>42</v>
      </c>
      <c r="C395">
        <v>115</v>
      </c>
      <c r="D395" s="6">
        <v>42552</v>
      </c>
      <c r="E395" t="str">
        <f>VLOOKUP(B395,[1]pivottables!$F$2:$G$52,2,0)</f>
        <v>HUN</v>
      </c>
      <c r="F395">
        <v>4</v>
      </c>
      <c r="G395">
        <f>VLOOKUP(C395,[1]products!$B$2:$E$27,4,0)</f>
        <v>22.55</v>
      </c>
      <c r="H395">
        <f t="shared" si="6"/>
        <v>90.2</v>
      </c>
    </row>
    <row r="396" spans="1:8" x14ac:dyDescent="0.3">
      <c r="A396">
        <v>395</v>
      </c>
      <c r="B396">
        <v>10</v>
      </c>
      <c r="C396">
        <v>107</v>
      </c>
      <c r="D396" s="6">
        <v>42434</v>
      </c>
      <c r="E396" t="str">
        <f>VLOOKUP(B396,[1]pivottables!$F$2:$G$52,2,0)</f>
        <v>NLD</v>
      </c>
      <c r="F396">
        <v>5</v>
      </c>
      <c r="G396">
        <f>VLOOKUP(C396,[1]products!$B$2:$E$27,4,0)</f>
        <v>43.1</v>
      </c>
      <c r="H396">
        <f t="shared" si="6"/>
        <v>215.5</v>
      </c>
    </row>
    <row r="397" spans="1:8" x14ac:dyDescent="0.3">
      <c r="A397">
        <v>396</v>
      </c>
      <c r="B397">
        <v>8</v>
      </c>
      <c r="C397">
        <v>122</v>
      </c>
      <c r="D397" s="6">
        <v>42675</v>
      </c>
      <c r="E397" t="str">
        <f>VLOOKUP(B397,[1]pivottables!$F$2:$G$52,2,0)</f>
        <v>CZE</v>
      </c>
      <c r="F397">
        <v>2</v>
      </c>
      <c r="G397">
        <f>VLOOKUP(C397,[1]products!$B$2:$E$27,4,0)</f>
        <v>32.64</v>
      </c>
      <c r="H397">
        <f t="shared" si="6"/>
        <v>65.28</v>
      </c>
    </row>
    <row r="398" spans="1:8" x14ac:dyDescent="0.3">
      <c r="A398">
        <v>397</v>
      </c>
      <c r="B398">
        <v>47</v>
      </c>
      <c r="C398">
        <v>119</v>
      </c>
      <c r="D398" s="6">
        <v>42036</v>
      </c>
      <c r="E398" t="str">
        <f>VLOOKUP(B398,[1]pivottables!$F$2:$G$52,2,0)</f>
        <v>CHN</v>
      </c>
      <c r="F398">
        <v>1</v>
      </c>
      <c r="G398">
        <f>VLOOKUP(C398,[1]products!$B$2:$E$27,4,0)</f>
        <v>74.55</v>
      </c>
      <c r="H398">
        <f t="shared" si="6"/>
        <v>74.55</v>
      </c>
    </row>
    <row r="399" spans="1:8" x14ac:dyDescent="0.3">
      <c r="A399">
        <v>398</v>
      </c>
      <c r="B399">
        <v>21</v>
      </c>
      <c r="C399">
        <v>102</v>
      </c>
      <c r="D399" s="6">
        <v>42509</v>
      </c>
      <c r="E399" t="str">
        <f>VLOOKUP(B399,[1]pivottables!$F$2:$G$52,2,0)</f>
        <v>HUN</v>
      </c>
      <c r="F399">
        <v>4</v>
      </c>
      <c r="G399">
        <f>VLOOKUP(C399,[1]products!$B$2:$E$27,4,0)</f>
        <v>14.94</v>
      </c>
      <c r="H399">
        <f t="shared" si="6"/>
        <v>59.76</v>
      </c>
    </row>
    <row r="400" spans="1:8" x14ac:dyDescent="0.3">
      <c r="A400">
        <v>399</v>
      </c>
      <c r="B400">
        <v>44</v>
      </c>
      <c r="C400">
        <v>123</v>
      </c>
      <c r="D400" s="6">
        <v>43026</v>
      </c>
      <c r="E400" t="str">
        <f>VLOOKUP(B400,[1]pivottables!$F$2:$G$52,2,0)</f>
        <v>CHN</v>
      </c>
      <c r="F400">
        <v>2</v>
      </c>
      <c r="G400">
        <f>VLOOKUP(C400,[1]products!$B$2:$E$27,4,0)</f>
        <v>39.67</v>
      </c>
      <c r="H400">
        <f t="shared" si="6"/>
        <v>79.34</v>
      </c>
    </row>
    <row r="401" spans="1:8" x14ac:dyDescent="0.3">
      <c r="A401">
        <v>400</v>
      </c>
      <c r="B401">
        <v>23</v>
      </c>
      <c r="C401">
        <v>118</v>
      </c>
      <c r="D401" s="6">
        <v>42543</v>
      </c>
      <c r="E401" t="str">
        <f>VLOOKUP(B401,[1]pivottables!$F$2:$G$52,2,0)</f>
        <v>GBR</v>
      </c>
      <c r="F401">
        <v>5</v>
      </c>
      <c r="G401">
        <f>VLOOKUP(C401,[1]products!$B$2:$E$27,4,0)</f>
        <v>56.48</v>
      </c>
      <c r="H401">
        <f t="shared" si="6"/>
        <v>282.39999999999998</v>
      </c>
    </row>
    <row r="402" spans="1:8" x14ac:dyDescent="0.3">
      <c r="A402">
        <v>401</v>
      </c>
      <c r="B402">
        <v>33</v>
      </c>
      <c r="C402">
        <v>120</v>
      </c>
      <c r="D402" s="6">
        <v>42467</v>
      </c>
      <c r="E402" t="str">
        <f>VLOOKUP(B402,[1]pivottables!$F$2:$G$52,2,0)</f>
        <v>NLD</v>
      </c>
      <c r="F402">
        <v>3</v>
      </c>
      <c r="G402">
        <f>VLOOKUP(C402,[1]products!$B$2:$E$27,4,0)</f>
        <v>17.13</v>
      </c>
      <c r="H402">
        <f t="shared" si="6"/>
        <v>51.39</v>
      </c>
    </row>
    <row r="403" spans="1:8" x14ac:dyDescent="0.3">
      <c r="A403">
        <v>402</v>
      </c>
      <c r="B403">
        <v>41</v>
      </c>
      <c r="C403">
        <v>117</v>
      </c>
      <c r="D403" s="6">
        <v>42306</v>
      </c>
      <c r="E403" t="str">
        <f>VLOOKUP(B403,[1]pivottables!$F$2:$G$52,2,0)</f>
        <v>FRA</v>
      </c>
      <c r="F403">
        <v>5</v>
      </c>
      <c r="G403">
        <f>VLOOKUP(C403,[1]products!$B$2:$E$27,4,0)</f>
        <v>47.38</v>
      </c>
      <c r="H403">
        <f t="shared" si="6"/>
        <v>236.9</v>
      </c>
    </row>
    <row r="404" spans="1:8" x14ac:dyDescent="0.3">
      <c r="A404">
        <v>403</v>
      </c>
      <c r="B404">
        <v>45</v>
      </c>
      <c r="C404">
        <v>116</v>
      </c>
      <c r="D404" s="6">
        <v>42842</v>
      </c>
      <c r="E404" t="str">
        <f>VLOOKUP(B404,[1]pivottables!$F$2:$G$52,2,0)</f>
        <v>NLD</v>
      </c>
      <c r="F404">
        <v>2</v>
      </c>
      <c r="G404">
        <f>VLOOKUP(C404,[1]products!$B$2:$E$27,4,0)</f>
        <v>137.19999999999999</v>
      </c>
      <c r="H404">
        <f t="shared" si="6"/>
        <v>274.39999999999998</v>
      </c>
    </row>
    <row r="405" spans="1:8" x14ac:dyDescent="0.3">
      <c r="A405">
        <v>404</v>
      </c>
      <c r="B405">
        <v>46</v>
      </c>
      <c r="C405">
        <v>108</v>
      </c>
      <c r="D405" s="6">
        <v>42355</v>
      </c>
      <c r="E405" t="str">
        <f>VLOOKUP(B405,[1]pivottables!$F$2:$G$52,2,0)</f>
        <v>JPN</v>
      </c>
      <c r="F405">
        <v>2</v>
      </c>
      <c r="G405">
        <f>VLOOKUP(C405,[1]products!$B$2:$E$27,4,0)</f>
        <v>137.97999999999999</v>
      </c>
      <c r="H405">
        <f t="shared" si="6"/>
        <v>275.95999999999998</v>
      </c>
    </row>
    <row r="406" spans="1:8" x14ac:dyDescent="0.3">
      <c r="A406">
        <v>405</v>
      </c>
      <c r="B406">
        <v>34</v>
      </c>
      <c r="C406">
        <v>114</v>
      </c>
      <c r="D406" s="6">
        <v>42445</v>
      </c>
      <c r="E406" t="str">
        <f>VLOOKUP(B406,[1]pivottables!$F$2:$G$52,2,0)</f>
        <v>CAN</v>
      </c>
      <c r="F406">
        <v>5</v>
      </c>
      <c r="G406">
        <f>VLOOKUP(C406,[1]products!$B$2:$E$27,4,0)</f>
        <v>74.38</v>
      </c>
      <c r="H406">
        <f t="shared" si="6"/>
        <v>371.9</v>
      </c>
    </row>
    <row r="407" spans="1:8" x14ac:dyDescent="0.3">
      <c r="A407">
        <v>406</v>
      </c>
      <c r="B407">
        <v>2</v>
      </c>
      <c r="C407">
        <v>124</v>
      </c>
      <c r="D407" s="6">
        <v>43069</v>
      </c>
      <c r="E407" t="str">
        <f>VLOOKUP(B407,[1]pivottables!$F$2:$G$52,2,0)</f>
        <v>CZE</v>
      </c>
      <c r="F407">
        <v>2</v>
      </c>
      <c r="G407">
        <f>VLOOKUP(C407,[1]products!$B$2:$E$27,4,0)</f>
        <v>108.54</v>
      </c>
      <c r="H407">
        <f t="shared" si="6"/>
        <v>217.08</v>
      </c>
    </row>
    <row r="408" spans="1:8" x14ac:dyDescent="0.3">
      <c r="A408">
        <v>407</v>
      </c>
      <c r="B408">
        <v>49</v>
      </c>
      <c r="C408">
        <v>111</v>
      </c>
      <c r="D408" s="6">
        <v>42715</v>
      </c>
      <c r="E408" t="str">
        <f>VLOOKUP(B408,[1]pivottables!$F$2:$G$52,2,0)</f>
        <v>JPN</v>
      </c>
      <c r="F408">
        <v>3</v>
      </c>
      <c r="G408">
        <f>VLOOKUP(C408,[1]products!$B$2:$E$27,4,0)</f>
        <v>149.93</v>
      </c>
      <c r="H408">
        <f t="shared" si="6"/>
        <v>449.79</v>
      </c>
    </row>
    <row r="409" spans="1:8" x14ac:dyDescent="0.3">
      <c r="A409">
        <v>408</v>
      </c>
      <c r="B409">
        <v>45</v>
      </c>
      <c r="C409">
        <v>123</v>
      </c>
      <c r="D409" s="6">
        <v>42099</v>
      </c>
      <c r="E409" t="str">
        <f>VLOOKUP(B409,[1]pivottables!$F$2:$G$52,2,0)</f>
        <v>NLD</v>
      </c>
      <c r="F409">
        <v>1</v>
      </c>
      <c r="G409">
        <f>VLOOKUP(C409,[1]products!$B$2:$E$27,4,0)</f>
        <v>39.67</v>
      </c>
      <c r="H409">
        <f t="shared" si="6"/>
        <v>39.67</v>
      </c>
    </row>
    <row r="410" spans="1:8" x14ac:dyDescent="0.3">
      <c r="A410">
        <v>409</v>
      </c>
      <c r="B410">
        <v>46</v>
      </c>
      <c r="C410">
        <v>111</v>
      </c>
      <c r="D410" s="6">
        <v>42381</v>
      </c>
      <c r="E410" t="str">
        <f>VLOOKUP(B410,[1]pivottables!$F$2:$G$52,2,0)</f>
        <v>JPN</v>
      </c>
      <c r="F410">
        <v>4</v>
      </c>
      <c r="G410">
        <f>VLOOKUP(C410,[1]products!$B$2:$E$27,4,0)</f>
        <v>149.93</v>
      </c>
      <c r="H410">
        <f t="shared" si="6"/>
        <v>599.72</v>
      </c>
    </row>
    <row r="411" spans="1:8" x14ac:dyDescent="0.3">
      <c r="A411">
        <v>410</v>
      </c>
      <c r="B411">
        <v>27</v>
      </c>
      <c r="C411">
        <v>117</v>
      </c>
      <c r="D411" s="6">
        <v>42446</v>
      </c>
      <c r="E411" t="str">
        <f>VLOOKUP(B411,[1]pivottables!$F$2:$G$52,2,0)</f>
        <v>ITA</v>
      </c>
      <c r="F411">
        <v>5</v>
      </c>
      <c r="G411">
        <f>VLOOKUP(C411,[1]products!$B$2:$E$27,4,0)</f>
        <v>47.38</v>
      </c>
      <c r="H411">
        <f t="shared" si="6"/>
        <v>236.9</v>
      </c>
    </row>
    <row r="412" spans="1:8" x14ac:dyDescent="0.3">
      <c r="A412">
        <v>411</v>
      </c>
      <c r="B412">
        <v>32</v>
      </c>
      <c r="C412">
        <v>123</v>
      </c>
      <c r="D412" s="6">
        <v>42011</v>
      </c>
      <c r="E412" t="str">
        <f>VLOOKUP(B412,[1]pivottables!$F$2:$G$52,2,0)</f>
        <v>NLD</v>
      </c>
      <c r="F412">
        <v>3</v>
      </c>
      <c r="G412">
        <f>VLOOKUP(C412,[1]products!$B$2:$E$27,4,0)</f>
        <v>39.67</v>
      </c>
      <c r="H412">
        <f t="shared" si="6"/>
        <v>119.01</v>
      </c>
    </row>
    <row r="413" spans="1:8" x14ac:dyDescent="0.3">
      <c r="A413">
        <v>412</v>
      </c>
      <c r="B413">
        <v>26</v>
      </c>
      <c r="C413">
        <v>101</v>
      </c>
      <c r="D413" s="6">
        <v>42457</v>
      </c>
      <c r="E413" t="str">
        <f>VLOOKUP(B413,[1]pivottables!$F$2:$G$52,2,0)</f>
        <v>NLD</v>
      </c>
      <c r="F413">
        <v>4</v>
      </c>
      <c r="G413">
        <f>VLOOKUP(C413,[1]products!$B$2:$E$27,4,0)</f>
        <v>108.61</v>
      </c>
      <c r="H413">
        <f t="shared" si="6"/>
        <v>434.44</v>
      </c>
    </row>
    <row r="414" spans="1:8" x14ac:dyDescent="0.3">
      <c r="A414">
        <v>413</v>
      </c>
      <c r="B414">
        <v>16</v>
      </c>
      <c r="C414">
        <v>122</v>
      </c>
      <c r="D414" s="6">
        <v>42359</v>
      </c>
      <c r="E414" t="str">
        <f>VLOOKUP(B414,[1]pivottables!$F$2:$G$52,2,0)</f>
        <v>JPN</v>
      </c>
      <c r="F414">
        <v>3</v>
      </c>
      <c r="G414">
        <f>VLOOKUP(C414,[1]products!$B$2:$E$27,4,0)</f>
        <v>32.64</v>
      </c>
      <c r="H414">
        <f t="shared" si="6"/>
        <v>97.92</v>
      </c>
    </row>
    <row r="415" spans="1:8" x14ac:dyDescent="0.3">
      <c r="A415">
        <v>414</v>
      </c>
      <c r="B415">
        <v>10</v>
      </c>
      <c r="C415">
        <v>110</v>
      </c>
      <c r="D415" s="6">
        <v>42205</v>
      </c>
      <c r="E415" t="str">
        <f>VLOOKUP(B415,[1]pivottables!$F$2:$G$52,2,0)</f>
        <v>NLD</v>
      </c>
      <c r="F415">
        <v>4</v>
      </c>
      <c r="G415">
        <f>VLOOKUP(C415,[1]products!$B$2:$E$27,4,0)</f>
        <v>10.76</v>
      </c>
      <c r="H415">
        <f t="shared" si="6"/>
        <v>43.04</v>
      </c>
    </row>
    <row r="416" spans="1:8" x14ac:dyDescent="0.3">
      <c r="A416">
        <v>415</v>
      </c>
      <c r="B416">
        <v>7</v>
      </c>
      <c r="C416">
        <v>117</v>
      </c>
      <c r="D416" s="6">
        <v>42409</v>
      </c>
      <c r="E416" t="str">
        <f>VLOOKUP(B416,[1]pivottables!$F$2:$G$52,2,0)</f>
        <v>CAN</v>
      </c>
      <c r="F416">
        <v>5</v>
      </c>
      <c r="G416">
        <f>VLOOKUP(C416,[1]products!$B$2:$E$27,4,0)</f>
        <v>47.38</v>
      </c>
      <c r="H416">
        <f t="shared" si="6"/>
        <v>236.9</v>
      </c>
    </row>
    <row r="417" spans="1:8" x14ac:dyDescent="0.3">
      <c r="A417">
        <v>416</v>
      </c>
      <c r="B417">
        <v>17</v>
      </c>
      <c r="C417">
        <v>121</v>
      </c>
      <c r="D417" s="6">
        <v>42086</v>
      </c>
      <c r="E417" t="str">
        <f>VLOOKUP(B417,[1]pivottables!$F$2:$G$52,2,0)</f>
        <v>CAN</v>
      </c>
      <c r="F417">
        <v>5</v>
      </c>
      <c r="G417">
        <f>VLOOKUP(C417,[1]products!$B$2:$E$27,4,0)</f>
        <v>49.09</v>
      </c>
      <c r="H417">
        <f t="shared" si="6"/>
        <v>245.45000000000002</v>
      </c>
    </row>
    <row r="418" spans="1:8" x14ac:dyDescent="0.3">
      <c r="A418">
        <v>417</v>
      </c>
      <c r="B418">
        <v>49</v>
      </c>
      <c r="C418">
        <v>124</v>
      </c>
      <c r="D418" s="6">
        <v>42957</v>
      </c>
      <c r="E418" t="str">
        <f>VLOOKUP(B418,[1]pivottables!$F$2:$G$52,2,0)</f>
        <v>JPN</v>
      </c>
      <c r="F418">
        <v>2</v>
      </c>
      <c r="G418">
        <f>VLOOKUP(C418,[1]products!$B$2:$E$27,4,0)</f>
        <v>108.54</v>
      </c>
      <c r="H418">
        <f t="shared" si="6"/>
        <v>217.08</v>
      </c>
    </row>
    <row r="419" spans="1:8" x14ac:dyDescent="0.3">
      <c r="A419">
        <v>418</v>
      </c>
      <c r="B419">
        <v>7</v>
      </c>
      <c r="C419">
        <v>120</v>
      </c>
      <c r="D419" s="6">
        <v>42039</v>
      </c>
      <c r="E419" t="str">
        <f>VLOOKUP(B419,[1]pivottables!$F$2:$G$52,2,0)</f>
        <v>CAN</v>
      </c>
      <c r="F419">
        <v>3</v>
      </c>
      <c r="G419">
        <f>VLOOKUP(C419,[1]products!$B$2:$E$27,4,0)</f>
        <v>17.13</v>
      </c>
      <c r="H419">
        <f t="shared" si="6"/>
        <v>51.39</v>
      </c>
    </row>
    <row r="420" spans="1:8" x14ac:dyDescent="0.3">
      <c r="A420">
        <v>419</v>
      </c>
      <c r="B420">
        <v>32</v>
      </c>
      <c r="C420">
        <v>108</v>
      </c>
      <c r="D420" s="6">
        <v>42441</v>
      </c>
      <c r="E420" t="str">
        <f>VLOOKUP(B420,[1]pivottables!$F$2:$G$52,2,0)</f>
        <v>NLD</v>
      </c>
      <c r="F420">
        <v>5</v>
      </c>
      <c r="G420">
        <f>VLOOKUP(C420,[1]products!$B$2:$E$27,4,0)</f>
        <v>137.97999999999999</v>
      </c>
      <c r="H420">
        <f t="shared" si="6"/>
        <v>689.9</v>
      </c>
    </row>
    <row r="421" spans="1:8" x14ac:dyDescent="0.3">
      <c r="A421">
        <v>420</v>
      </c>
      <c r="B421">
        <v>50</v>
      </c>
      <c r="C421">
        <v>112</v>
      </c>
      <c r="D421" s="6">
        <v>43070</v>
      </c>
      <c r="E421" t="str">
        <f>VLOOKUP(B421,[1]pivottables!$F$2:$G$52,2,0)</f>
        <v>NLD</v>
      </c>
      <c r="F421">
        <v>2</v>
      </c>
      <c r="G421">
        <f>VLOOKUP(C421,[1]products!$B$2:$E$27,4,0)</f>
        <v>106.3</v>
      </c>
      <c r="H421">
        <f t="shared" si="6"/>
        <v>212.6</v>
      </c>
    </row>
    <row r="422" spans="1:8" x14ac:dyDescent="0.3">
      <c r="A422">
        <v>421</v>
      </c>
      <c r="B422">
        <v>44</v>
      </c>
      <c r="C422">
        <v>102</v>
      </c>
      <c r="D422" s="6">
        <v>42048</v>
      </c>
      <c r="E422" t="str">
        <f>VLOOKUP(B422,[1]pivottables!$F$2:$G$52,2,0)</f>
        <v>CHN</v>
      </c>
      <c r="F422">
        <v>3</v>
      </c>
      <c r="G422">
        <f>VLOOKUP(C422,[1]products!$B$2:$E$27,4,0)</f>
        <v>14.94</v>
      </c>
      <c r="H422">
        <f t="shared" si="6"/>
        <v>44.82</v>
      </c>
    </row>
    <row r="423" spans="1:8" x14ac:dyDescent="0.3">
      <c r="A423">
        <v>422</v>
      </c>
      <c r="B423">
        <v>25</v>
      </c>
      <c r="C423">
        <v>109</v>
      </c>
      <c r="D423" s="6">
        <v>42531</v>
      </c>
      <c r="E423" t="str">
        <f>VLOOKUP(B423,[1]pivottables!$F$2:$G$52,2,0)</f>
        <v>CHN</v>
      </c>
      <c r="F423">
        <v>2</v>
      </c>
      <c r="G423">
        <f>VLOOKUP(C423,[1]products!$B$2:$E$27,4,0)</f>
        <v>143.97999999999999</v>
      </c>
      <c r="H423">
        <f t="shared" si="6"/>
        <v>287.95999999999998</v>
      </c>
    </row>
    <row r="424" spans="1:8" x14ac:dyDescent="0.3">
      <c r="A424">
        <v>423</v>
      </c>
      <c r="B424">
        <v>1</v>
      </c>
      <c r="C424">
        <v>105</v>
      </c>
      <c r="D424" s="6">
        <v>42336</v>
      </c>
      <c r="E424" t="str">
        <f>VLOOKUP(B424,[1]pivottables!$F$2:$G$52,2,0)</f>
        <v>FRA</v>
      </c>
      <c r="F424">
        <v>4</v>
      </c>
      <c r="G424">
        <f>VLOOKUP(C424,[1]products!$B$2:$E$27,4,0)</f>
        <v>149.93</v>
      </c>
      <c r="H424">
        <f t="shared" si="6"/>
        <v>599.72</v>
      </c>
    </row>
    <row r="425" spans="1:8" x14ac:dyDescent="0.3">
      <c r="A425">
        <v>424</v>
      </c>
      <c r="B425">
        <v>35</v>
      </c>
      <c r="C425">
        <v>109</v>
      </c>
      <c r="D425" s="6">
        <v>42245</v>
      </c>
      <c r="E425" t="str">
        <f>VLOOKUP(B425,[1]pivottables!$F$2:$G$52,2,0)</f>
        <v>JPN</v>
      </c>
      <c r="F425">
        <v>3</v>
      </c>
      <c r="G425">
        <f>VLOOKUP(C425,[1]products!$B$2:$E$27,4,0)</f>
        <v>143.97999999999999</v>
      </c>
      <c r="H425">
        <f t="shared" si="6"/>
        <v>431.93999999999994</v>
      </c>
    </row>
    <row r="426" spans="1:8" x14ac:dyDescent="0.3">
      <c r="A426">
        <v>425</v>
      </c>
      <c r="B426">
        <v>33</v>
      </c>
      <c r="C426">
        <v>110</v>
      </c>
      <c r="D426" s="6">
        <v>42439</v>
      </c>
      <c r="E426" t="str">
        <f>VLOOKUP(B426,[1]pivottables!$F$2:$G$52,2,0)</f>
        <v>NLD</v>
      </c>
      <c r="F426">
        <v>3</v>
      </c>
      <c r="G426">
        <f>VLOOKUP(C426,[1]products!$B$2:$E$27,4,0)</f>
        <v>10.76</v>
      </c>
      <c r="H426">
        <f t="shared" si="6"/>
        <v>32.28</v>
      </c>
    </row>
    <row r="427" spans="1:8" x14ac:dyDescent="0.3">
      <c r="A427">
        <v>426</v>
      </c>
      <c r="B427">
        <v>40</v>
      </c>
      <c r="C427">
        <v>120</v>
      </c>
      <c r="D427" s="6">
        <v>42366</v>
      </c>
      <c r="E427" t="str">
        <f>VLOOKUP(B427,[1]pivottables!$F$2:$G$52,2,0)</f>
        <v>JPN</v>
      </c>
      <c r="F427">
        <v>2</v>
      </c>
      <c r="G427">
        <f>VLOOKUP(C427,[1]products!$B$2:$E$27,4,0)</f>
        <v>17.13</v>
      </c>
      <c r="H427">
        <f t="shared" si="6"/>
        <v>34.26</v>
      </c>
    </row>
    <row r="428" spans="1:8" x14ac:dyDescent="0.3">
      <c r="A428">
        <v>427</v>
      </c>
      <c r="B428">
        <v>44</v>
      </c>
      <c r="C428">
        <v>115</v>
      </c>
      <c r="D428" s="6">
        <v>42314</v>
      </c>
      <c r="E428" t="str">
        <f>VLOOKUP(B428,[1]pivottables!$F$2:$G$52,2,0)</f>
        <v>CHN</v>
      </c>
      <c r="F428">
        <v>3</v>
      </c>
      <c r="G428">
        <f>VLOOKUP(C428,[1]products!$B$2:$E$27,4,0)</f>
        <v>22.55</v>
      </c>
      <c r="H428">
        <f t="shared" si="6"/>
        <v>67.650000000000006</v>
      </c>
    </row>
    <row r="429" spans="1:8" x14ac:dyDescent="0.3">
      <c r="A429">
        <v>428</v>
      </c>
      <c r="B429">
        <v>38</v>
      </c>
      <c r="C429">
        <v>100</v>
      </c>
      <c r="D429" s="6">
        <v>43061</v>
      </c>
      <c r="E429" t="str">
        <f>VLOOKUP(B429,[1]pivottables!$F$2:$G$52,2,0)</f>
        <v>USA</v>
      </c>
      <c r="F429">
        <v>4</v>
      </c>
      <c r="G429">
        <f>VLOOKUP(C429,[1]products!$B$2:$E$27,4,0)</f>
        <v>30.29</v>
      </c>
      <c r="H429">
        <f t="shared" si="6"/>
        <v>121.16</v>
      </c>
    </row>
    <row r="430" spans="1:8" x14ac:dyDescent="0.3">
      <c r="A430">
        <v>429</v>
      </c>
      <c r="B430">
        <v>42</v>
      </c>
      <c r="C430">
        <v>103</v>
      </c>
      <c r="D430" s="6">
        <v>42051</v>
      </c>
      <c r="E430" t="str">
        <f>VLOOKUP(B430,[1]pivottables!$F$2:$G$52,2,0)</f>
        <v>HUN</v>
      </c>
      <c r="F430">
        <v>2</v>
      </c>
      <c r="G430">
        <f>VLOOKUP(C430,[1]products!$B$2:$E$27,4,0)</f>
        <v>108.96</v>
      </c>
      <c r="H430">
        <f t="shared" si="6"/>
        <v>217.92</v>
      </c>
    </row>
    <row r="431" spans="1:8" x14ac:dyDescent="0.3">
      <c r="A431">
        <v>430</v>
      </c>
      <c r="B431">
        <v>32</v>
      </c>
      <c r="C431">
        <v>116</v>
      </c>
      <c r="D431" s="6">
        <v>42031</v>
      </c>
      <c r="E431" t="str">
        <f>VLOOKUP(B431,[1]pivottables!$F$2:$G$52,2,0)</f>
        <v>NLD</v>
      </c>
      <c r="F431">
        <v>5</v>
      </c>
      <c r="G431">
        <f>VLOOKUP(C431,[1]products!$B$2:$E$27,4,0)</f>
        <v>137.19999999999999</v>
      </c>
      <c r="H431">
        <f t="shared" si="6"/>
        <v>686</v>
      </c>
    </row>
    <row r="432" spans="1:8" x14ac:dyDescent="0.3">
      <c r="A432">
        <v>431</v>
      </c>
      <c r="B432">
        <v>8</v>
      </c>
      <c r="C432">
        <v>107</v>
      </c>
      <c r="D432" s="6">
        <v>42248</v>
      </c>
      <c r="E432" t="str">
        <f>VLOOKUP(B432,[1]pivottables!$F$2:$G$52,2,0)</f>
        <v>CZE</v>
      </c>
      <c r="F432">
        <v>2</v>
      </c>
      <c r="G432">
        <f>VLOOKUP(C432,[1]products!$B$2:$E$27,4,0)</f>
        <v>43.1</v>
      </c>
      <c r="H432">
        <f t="shared" si="6"/>
        <v>86.2</v>
      </c>
    </row>
    <row r="433" spans="1:8" x14ac:dyDescent="0.3">
      <c r="A433">
        <v>432</v>
      </c>
      <c r="B433">
        <v>46</v>
      </c>
      <c r="C433">
        <v>119</v>
      </c>
      <c r="D433" s="6">
        <v>42750</v>
      </c>
      <c r="E433" t="str">
        <f>VLOOKUP(B433,[1]pivottables!$F$2:$G$52,2,0)</f>
        <v>JPN</v>
      </c>
      <c r="F433">
        <v>1</v>
      </c>
      <c r="G433">
        <f>VLOOKUP(C433,[1]products!$B$2:$E$27,4,0)</f>
        <v>74.55</v>
      </c>
      <c r="H433">
        <f t="shared" si="6"/>
        <v>74.55</v>
      </c>
    </row>
    <row r="434" spans="1:8" x14ac:dyDescent="0.3">
      <c r="A434">
        <v>433</v>
      </c>
      <c r="B434">
        <v>45</v>
      </c>
      <c r="C434">
        <v>111</v>
      </c>
      <c r="D434" s="6">
        <v>42820</v>
      </c>
      <c r="E434" t="str">
        <f>VLOOKUP(B434,[1]pivottables!$F$2:$G$52,2,0)</f>
        <v>NLD</v>
      </c>
      <c r="F434">
        <v>1</v>
      </c>
      <c r="G434">
        <f>VLOOKUP(C434,[1]products!$B$2:$E$27,4,0)</f>
        <v>149.93</v>
      </c>
      <c r="H434">
        <f t="shared" si="6"/>
        <v>149.93</v>
      </c>
    </row>
    <row r="435" spans="1:8" x14ac:dyDescent="0.3">
      <c r="A435">
        <v>434</v>
      </c>
      <c r="B435">
        <v>17</v>
      </c>
      <c r="C435">
        <v>107</v>
      </c>
      <c r="D435" s="6">
        <v>42563</v>
      </c>
      <c r="E435" t="str">
        <f>VLOOKUP(B435,[1]pivottables!$F$2:$G$52,2,0)</f>
        <v>CAN</v>
      </c>
      <c r="F435">
        <v>2</v>
      </c>
      <c r="G435">
        <f>VLOOKUP(C435,[1]products!$B$2:$E$27,4,0)</f>
        <v>43.1</v>
      </c>
      <c r="H435">
        <f t="shared" si="6"/>
        <v>86.2</v>
      </c>
    </row>
    <row r="436" spans="1:8" x14ac:dyDescent="0.3">
      <c r="A436">
        <v>435</v>
      </c>
      <c r="B436">
        <v>19</v>
      </c>
      <c r="C436">
        <v>107</v>
      </c>
      <c r="D436" s="6">
        <v>42739</v>
      </c>
      <c r="E436" t="str">
        <f>VLOOKUP(B436,[1]pivottables!$F$2:$G$52,2,0)</f>
        <v>NLD</v>
      </c>
      <c r="F436">
        <v>1</v>
      </c>
      <c r="G436">
        <f>VLOOKUP(C436,[1]products!$B$2:$E$27,4,0)</f>
        <v>43.1</v>
      </c>
      <c r="H436">
        <f t="shared" si="6"/>
        <v>43.1</v>
      </c>
    </row>
    <row r="437" spans="1:8" x14ac:dyDescent="0.3">
      <c r="A437">
        <v>436</v>
      </c>
      <c r="B437">
        <v>38</v>
      </c>
      <c r="C437">
        <v>114</v>
      </c>
      <c r="D437" s="6">
        <v>42565</v>
      </c>
      <c r="E437" t="str">
        <f>VLOOKUP(B437,[1]pivottables!$F$2:$G$52,2,0)</f>
        <v>USA</v>
      </c>
      <c r="F437">
        <v>1</v>
      </c>
      <c r="G437">
        <f>VLOOKUP(C437,[1]products!$B$2:$E$27,4,0)</f>
        <v>74.38</v>
      </c>
      <c r="H437">
        <f t="shared" si="6"/>
        <v>74.38</v>
      </c>
    </row>
    <row r="438" spans="1:8" x14ac:dyDescent="0.3">
      <c r="A438">
        <v>437</v>
      </c>
      <c r="B438">
        <v>50</v>
      </c>
      <c r="C438">
        <v>121</v>
      </c>
      <c r="D438" s="6">
        <v>42892</v>
      </c>
      <c r="E438" t="str">
        <f>VLOOKUP(B438,[1]pivottables!$F$2:$G$52,2,0)</f>
        <v>NLD</v>
      </c>
      <c r="F438">
        <v>3</v>
      </c>
      <c r="G438">
        <f>VLOOKUP(C438,[1]products!$B$2:$E$27,4,0)</f>
        <v>49.09</v>
      </c>
      <c r="H438">
        <f t="shared" si="6"/>
        <v>147.27000000000001</v>
      </c>
    </row>
    <row r="439" spans="1:8" x14ac:dyDescent="0.3">
      <c r="A439">
        <v>438</v>
      </c>
      <c r="B439">
        <v>18</v>
      </c>
      <c r="C439">
        <v>102</v>
      </c>
      <c r="D439" s="6">
        <v>42958</v>
      </c>
      <c r="E439" t="str">
        <f>VLOOKUP(B439,[1]pivottables!$F$2:$G$52,2,0)</f>
        <v>JPN</v>
      </c>
      <c r="F439">
        <v>2</v>
      </c>
      <c r="G439">
        <f>VLOOKUP(C439,[1]products!$B$2:$E$27,4,0)</f>
        <v>14.94</v>
      </c>
      <c r="H439">
        <f t="shared" si="6"/>
        <v>29.88</v>
      </c>
    </row>
    <row r="440" spans="1:8" x14ac:dyDescent="0.3">
      <c r="A440">
        <v>439</v>
      </c>
      <c r="B440">
        <v>33</v>
      </c>
      <c r="C440">
        <v>106</v>
      </c>
      <c r="D440" s="6">
        <v>42353</v>
      </c>
      <c r="E440" t="str">
        <f>VLOOKUP(B440,[1]pivottables!$F$2:$G$52,2,0)</f>
        <v>NLD</v>
      </c>
      <c r="F440">
        <v>4</v>
      </c>
      <c r="G440">
        <f>VLOOKUP(C440,[1]products!$B$2:$E$27,4,0)</f>
        <v>132.88</v>
      </c>
      <c r="H440">
        <f t="shared" si="6"/>
        <v>531.52</v>
      </c>
    </row>
    <row r="441" spans="1:8" x14ac:dyDescent="0.3">
      <c r="A441">
        <v>440</v>
      </c>
      <c r="B441">
        <v>30</v>
      </c>
      <c r="C441">
        <v>101</v>
      </c>
      <c r="D441" s="6">
        <v>42977</v>
      </c>
      <c r="E441" t="str">
        <f>VLOOKUP(B441,[1]pivottables!$F$2:$G$52,2,0)</f>
        <v>FRA</v>
      </c>
      <c r="F441">
        <v>5</v>
      </c>
      <c r="G441">
        <f>VLOOKUP(C441,[1]products!$B$2:$E$27,4,0)</f>
        <v>108.61</v>
      </c>
      <c r="H441">
        <f t="shared" si="6"/>
        <v>543.04999999999995</v>
      </c>
    </row>
    <row r="442" spans="1:8" x14ac:dyDescent="0.3">
      <c r="A442">
        <v>441</v>
      </c>
      <c r="B442">
        <v>11</v>
      </c>
      <c r="C442">
        <v>106</v>
      </c>
      <c r="D442" s="6">
        <v>42285</v>
      </c>
      <c r="E442" t="str">
        <f>VLOOKUP(B442,[1]pivottables!$F$2:$G$52,2,0)</f>
        <v>ITA</v>
      </c>
      <c r="F442">
        <v>3</v>
      </c>
      <c r="G442">
        <f>VLOOKUP(C442,[1]products!$B$2:$E$27,4,0)</f>
        <v>132.88</v>
      </c>
      <c r="H442">
        <f t="shared" si="6"/>
        <v>398.64</v>
      </c>
    </row>
    <row r="443" spans="1:8" x14ac:dyDescent="0.3">
      <c r="A443">
        <v>442</v>
      </c>
      <c r="B443">
        <v>24</v>
      </c>
      <c r="C443">
        <v>103</v>
      </c>
      <c r="D443" s="6">
        <v>42232</v>
      </c>
      <c r="E443" t="str">
        <f>VLOOKUP(B443,[1]pivottables!$F$2:$G$52,2,0)</f>
        <v>NLD</v>
      </c>
      <c r="F443">
        <v>1</v>
      </c>
      <c r="G443">
        <f>VLOOKUP(C443,[1]products!$B$2:$E$27,4,0)</f>
        <v>108.96</v>
      </c>
      <c r="H443">
        <f t="shared" si="6"/>
        <v>108.96</v>
      </c>
    </row>
    <row r="444" spans="1:8" x14ac:dyDescent="0.3">
      <c r="A444">
        <v>443</v>
      </c>
      <c r="B444">
        <v>7</v>
      </c>
      <c r="C444">
        <v>111</v>
      </c>
      <c r="D444" s="6">
        <v>42337</v>
      </c>
      <c r="E444" t="str">
        <f>VLOOKUP(B444,[1]pivottables!$F$2:$G$52,2,0)</f>
        <v>CAN</v>
      </c>
      <c r="F444">
        <v>4</v>
      </c>
      <c r="G444">
        <f>VLOOKUP(C444,[1]products!$B$2:$E$27,4,0)</f>
        <v>149.93</v>
      </c>
      <c r="H444">
        <f t="shared" si="6"/>
        <v>599.72</v>
      </c>
    </row>
    <row r="445" spans="1:8" x14ac:dyDescent="0.3">
      <c r="A445">
        <v>444</v>
      </c>
      <c r="B445">
        <v>14</v>
      </c>
      <c r="C445">
        <v>102</v>
      </c>
      <c r="D445" s="6">
        <v>43062</v>
      </c>
      <c r="E445" t="str">
        <f>VLOOKUP(B445,[1]pivottables!$F$2:$G$52,2,0)</f>
        <v>CZE</v>
      </c>
      <c r="F445">
        <v>1</v>
      </c>
      <c r="G445">
        <f>VLOOKUP(C445,[1]products!$B$2:$E$27,4,0)</f>
        <v>14.94</v>
      </c>
      <c r="H445">
        <f t="shared" si="6"/>
        <v>14.94</v>
      </c>
    </row>
    <row r="446" spans="1:8" x14ac:dyDescent="0.3">
      <c r="A446">
        <v>445</v>
      </c>
      <c r="B446">
        <v>17</v>
      </c>
      <c r="C446">
        <v>124</v>
      </c>
      <c r="D446" s="6">
        <v>42735</v>
      </c>
      <c r="E446" t="str">
        <f>VLOOKUP(B446,[1]pivottables!$F$2:$G$52,2,0)</f>
        <v>CAN</v>
      </c>
      <c r="F446">
        <v>5</v>
      </c>
      <c r="G446">
        <f>VLOOKUP(C446,[1]products!$B$2:$E$27,4,0)</f>
        <v>108.54</v>
      </c>
      <c r="H446">
        <f t="shared" si="6"/>
        <v>542.70000000000005</v>
      </c>
    </row>
    <row r="447" spans="1:8" x14ac:dyDescent="0.3">
      <c r="A447">
        <v>446</v>
      </c>
      <c r="B447">
        <v>28</v>
      </c>
      <c r="C447">
        <v>104</v>
      </c>
      <c r="D447" s="6">
        <v>42992</v>
      </c>
      <c r="E447" t="str">
        <f>VLOOKUP(B447,[1]pivottables!$F$2:$G$52,2,0)</f>
        <v>FRA</v>
      </c>
      <c r="F447">
        <v>4</v>
      </c>
      <c r="G447">
        <f>VLOOKUP(C447,[1]products!$B$2:$E$27,4,0)</f>
        <v>122.18</v>
      </c>
      <c r="H447">
        <f t="shared" si="6"/>
        <v>488.72</v>
      </c>
    </row>
    <row r="448" spans="1:8" x14ac:dyDescent="0.3">
      <c r="A448">
        <v>447</v>
      </c>
      <c r="B448">
        <v>46</v>
      </c>
      <c r="C448">
        <v>109</v>
      </c>
      <c r="D448" s="6">
        <v>42996</v>
      </c>
      <c r="E448" t="str">
        <f>VLOOKUP(B448,[1]pivottables!$F$2:$G$52,2,0)</f>
        <v>JPN</v>
      </c>
      <c r="F448">
        <v>3</v>
      </c>
      <c r="G448">
        <f>VLOOKUP(C448,[1]products!$B$2:$E$27,4,0)</f>
        <v>143.97999999999999</v>
      </c>
      <c r="H448">
        <f t="shared" si="6"/>
        <v>431.93999999999994</v>
      </c>
    </row>
    <row r="449" spans="1:8" x14ac:dyDescent="0.3">
      <c r="A449">
        <v>448</v>
      </c>
      <c r="B449">
        <v>12</v>
      </c>
      <c r="C449">
        <v>124</v>
      </c>
      <c r="D449" s="6">
        <v>42794</v>
      </c>
      <c r="E449" t="str">
        <f>VLOOKUP(B449,[1]pivottables!$F$2:$G$52,2,0)</f>
        <v>FRA</v>
      </c>
      <c r="F449">
        <v>3</v>
      </c>
      <c r="G449">
        <f>VLOOKUP(C449,[1]products!$B$2:$E$27,4,0)</f>
        <v>108.54</v>
      </c>
      <c r="H449">
        <f t="shared" si="6"/>
        <v>325.62</v>
      </c>
    </row>
    <row r="450" spans="1:8" x14ac:dyDescent="0.3">
      <c r="A450">
        <v>449</v>
      </c>
      <c r="B450">
        <v>8</v>
      </c>
      <c r="C450">
        <v>109</v>
      </c>
      <c r="D450" s="6">
        <v>42482</v>
      </c>
      <c r="E450" t="str">
        <f>VLOOKUP(B450,[1]pivottables!$F$2:$G$52,2,0)</f>
        <v>CZE</v>
      </c>
      <c r="F450">
        <v>1</v>
      </c>
      <c r="G450">
        <f>VLOOKUP(C450,[1]products!$B$2:$E$27,4,0)</f>
        <v>143.97999999999999</v>
      </c>
      <c r="H450">
        <f t="shared" si="6"/>
        <v>143.97999999999999</v>
      </c>
    </row>
    <row r="451" spans="1:8" x14ac:dyDescent="0.3">
      <c r="A451">
        <v>450</v>
      </c>
      <c r="B451">
        <v>5</v>
      </c>
      <c r="C451">
        <v>119</v>
      </c>
      <c r="D451" s="6">
        <v>42787</v>
      </c>
      <c r="E451" t="str">
        <f>VLOOKUP(B451,[1]pivottables!$F$2:$G$52,2,0)</f>
        <v>USA</v>
      </c>
      <c r="F451">
        <v>1</v>
      </c>
      <c r="G451">
        <f>VLOOKUP(C451,[1]products!$B$2:$E$27,4,0)</f>
        <v>74.55</v>
      </c>
      <c r="H451">
        <f t="shared" ref="H451:H501" si="7">G451*F451</f>
        <v>74.55</v>
      </c>
    </row>
    <row r="452" spans="1:8" x14ac:dyDescent="0.3">
      <c r="A452">
        <v>451</v>
      </c>
      <c r="B452">
        <v>13</v>
      </c>
      <c r="C452">
        <v>117</v>
      </c>
      <c r="D452" s="6">
        <v>43020</v>
      </c>
      <c r="E452" t="str">
        <f>VLOOKUP(B452,[1]pivottables!$F$2:$G$52,2,0)</f>
        <v>GBR</v>
      </c>
      <c r="F452">
        <v>4</v>
      </c>
      <c r="G452">
        <f>VLOOKUP(C452,[1]products!$B$2:$E$27,4,0)</f>
        <v>47.38</v>
      </c>
      <c r="H452">
        <f t="shared" si="7"/>
        <v>189.52</v>
      </c>
    </row>
    <row r="453" spans="1:8" x14ac:dyDescent="0.3">
      <c r="A453">
        <v>452</v>
      </c>
      <c r="B453">
        <v>27</v>
      </c>
      <c r="C453">
        <v>113</v>
      </c>
      <c r="D453" s="6">
        <v>43012</v>
      </c>
      <c r="E453" t="str">
        <f>VLOOKUP(B453,[1]pivottables!$F$2:$G$52,2,0)</f>
        <v>ITA</v>
      </c>
      <c r="F453">
        <v>3</v>
      </c>
      <c r="G453">
        <f>VLOOKUP(C453,[1]products!$B$2:$E$27,4,0)</f>
        <v>9.89</v>
      </c>
      <c r="H453">
        <f t="shared" si="7"/>
        <v>29.67</v>
      </c>
    </row>
    <row r="454" spans="1:8" x14ac:dyDescent="0.3">
      <c r="A454">
        <v>453</v>
      </c>
      <c r="B454">
        <v>14</v>
      </c>
      <c r="C454">
        <v>108</v>
      </c>
      <c r="D454" s="6">
        <v>42201</v>
      </c>
      <c r="E454" t="str">
        <f>VLOOKUP(B454,[1]pivottables!$F$2:$G$52,2,0)</f>
        <v>CZE</v>
      </c>
      <c r="F454">
        <v>3</v>
      </c>
      <c r="G454">
        <f>VLOOKUP(C454,[1]products!$B$2:$E$27,4,0)</f>
        <v>137.97999999999999</v>
      </c>
      <c r="H454">
        <f t="shared" si="7"/>
        <v>413.93999999999994</v>
      </c>
    </row>
    <row r="455" spans="1:8" x14ac:dyDescent="0.3">
      <c r="A455">
        <v>454</v>
      </c>
      <c r="B455">
        <v>35</v>
      </c>
      <c r="C455">
        <v>100</v>
      </c>
      <c r="D455" s="6">
        <v>42134</v>
      </c>
      <c r="E455" t="str">
        <f>VLOOKUP(B455,[1]pivottables!$F$2:$G$52,2,0)</f>
        <v>JPN</v>
      </c>
      <c r="F455">
        <v>3</v>
      </c>
      <c r="G455">
        <f>VLOOKUP(C455,[1]products!$B$2:$E$27,4,0)</f>
        <v>30.29</v>
      </c>
      <c r="H455">
        <f t="shared" si="7"/>
        <v>90.87</v>
      </c>
    </row>
    <row r="456" spans="1:8" x14ac:dyDescent="0.3">
      <c r="A456">
        <v>455</v>
      </c>
      <c r="B456">
        <v>15</v>
      </c>
      <c r="C456">
        <v>107</v>
      </c>
      <c r="D456" s="6">
        <v>42738</v>
      </c>
      <c r="E456" t="str">
        <f>VLOOKUP(B456,[1]pivottables!$F$2:$G$52,2,0)</f>
        <v>HUN</v>
      </c>
      <c r="F456">
        <v>3</v>
      </c>
      <c r="G456">
        <f>VLOOKUP(C456,[1]products!$B$2:$E$27,4,0)</f>
        <v>43.1</v>
      </c>
      <c r="H456">
        <f t="shared" si="7"/>
        <v>129.30000000000001</v>
      </c>
    </row>
    <row r="457" spans="1:8" x14ac:dyDescent="0.3">
      <c r="A457">
        <v>456</v>
      </c>
      <c r="B457">
        <v>13</v>
      </c>
      <c r="C457">
        <v>111</v>
      </c>
      <c r="D457" s="6">
        <v>43055</v>
      </c>
      <c r="E457" t="str">
        <f>VLOOKUP(B457,[1]pivottables!$F$2:$G$52,2,0)</f>
        <v>GBR</v>
      </c>
      <c r="F457">
        <v>4</v>
      </c>
      <c r="G457">
        <f>VLOOKUP(C457,[1]products!$B$2:$E$27,4,0)</f>
        <v>149.93</v>
      </c>
      <c r="H457">
        <f t="shared" si="7"/>
        <v>599.72</v>
      </c>
    </row>
    <row r="458" spans="1:8" x14ac:dyDescent="0.3">
      <c r="A458">
        <v>457</v>
      </c>
      <c r="B458">
        <v>50</v>
      </c>
      <c r="C458">
        <v>110</v>
      </c>
      <c r="D458" s="6">
        <v>42451</v>
      </c>
      <c r="E458" t="str">
        <f>VLOOKUP(B458,[1]pivottables!$F$2:$G$52,2,0)</f>
        <v>NLD</v>
      </c>
      <c r="F458">
        <v>2</v>
      </c>
      <c r="G458">
        <f>VLOOKUP(C458,[1]products!$B$2:$E$27,4,0)</f>
        <v>10.76</v>
      </c>
      <c r="H458">
        <f t="shared" si="7"/>
        <v>21.52</v>
      </c>
    </row>
    <row r="459" spans="1:8" x14ac:dyDescent="0.3">
      <c r="A459">
        <v>458</v>
      </c>
      <c r="B459">
        <v>21</v>
      </c>
      <c r="C459">
        <v>119</v>
      </c>
      <c r="D459" s="6">
        <v>42429</v>
      </c>
      <c r="E459" t="str">
        <f>VLOOKUP(B459,[1]pivottables!$F$2:$G$52,2,0)</f>
        <v>HUN</v>
      </c>
      <c r="F459">
        <v>1</v>
      </c>
      <c r="G459">
        <f>VLOOKUP(C459,[1]products!$B$2:$E$27,4,0)</f>
        <v>74.55</v>
      </c>
      <c r="H459">
        <f t="shared" si="7"/>
        <v>74.55</v>
      </c>
    </row>
    <row r="460" spans="1:8" x14ac:dyDescent="0.3">
      <c r="A460">
        <v>459</v>
      </c>
      <c r="B460">
        <v>9</v>
      </c>
      <c r="C460">
        <v>119</v>
      </c>
      <c r="D460" s="6">
        <v>43045</v>
      </c>
      <c r="E460" t="str">
        <f>VLOOKUP(B460,[1]pivottables!$F$2:$G$52,2,0)</f>
        <v>HUN</v>
      </c>
      <c r="F460">
        <v>4</v>
      </c>
      <c r="G460">
        <f>VLOOKUP(C460,[1]products!$B$2:$E$27,4,0)</f>
        <v>74.55</v>
      </c>
      <c r="H460">
        <f t="shared" si="7"/>
        <v>298.2</v>
      </c>
    </row>
    <row r="461" spans="1:8" x14ac:dyDescent="0.3">
      <c r="A461">
        <v>460</v>
      </c>
      <c r="B461">
        <v>37</v>
      </c>
      <c r="C461">
        <v>122</v>
      </c>
      <c r="D461" s="6">
        <v>43079</v>
      </c>
      <c r="E461" t="str">
        <f>VLOOKUP(B461,[1]pivottables!$F$2:$G$52,2,0)</f>
        <v>GBR</v>
      </c>
      <c r="F461">
        <v>4</v>
      </c>
      <c r="G461">
        <f>VLOOKUP(C461,[1]products!$B$2:$E$27,4,0)</f>
        <v>32.64</v>
      </c>
      <c r="H461">
        <f t="shared" si="7"/>
        <v>130.56</v>
      </c>
    </row>
    <row r="462" spans="1:8" x14ac:dyDescent="0.3">
      <c r="A462">
        <v>461</v>
      </c>
      <c r="B462">
        <v>21</v>
      </c>
      <c r="C462">
        <v>103</v>
      </c>
      <c r="D462" s="6">
        <v>42733</v>
      </c>
      <c r="E462" t="str">
        <f>VLOOKUP(B462,[1]pivottables!$F$2:$G$52,2,0)</f>
        <v>HUN</v>
      </c>
      <c r="F462">
        <v>2</v>
      </c>
      <c r="G462">
        <f>VLOOKUP(C462,[1]products!$B$2:$E$27,4,0)</f>
        <v>108.96</v>
      </c>
      <c r="H462">
        <f t="shared" si="7"/>
        <v>217.92</v>
      </c>
    </row>
    <row r="463" spans="1:8" x14ac:dyDescent="0.3">
      <c r="A463">
        <v>462</v>
      </c>
      <c r="B463">
        <v>25</v>
      </c>
      <c r="C463">
        <v>112</v>
      </c>
      <c r="D463" s="6">
        <v>42656</v>
      </c>
      <c r="E463" t="str">
        <f>VLOOKUP(B463,[1]pivottables!$F$2:$G$52,2,0)</f>
        <v>CHN</v>
      </c>
      <c r="F463">
        <v>5</v>
      </c>
      <c r="G463">
        <f>VLOOKUP(C463,[1]products!$B$2:$E$27,4,0)</f>
        <v>106.3</v>
      </c>
      <c r="H463">
        <f t="shared" si="7"/>
        <v>531.5</v>
      </c>
    </row>
    <row r="464" spans="1:8" x14ac:dyDescent="0.3">
      <c r="A464">
        <v>463</v>
      </c>
      <c r="B464">
        <v>8</v>
      </c>
      <c r="C464">
        <v>125</v>
      </c>
      <c r="D464" s="6">
        <v>42344</v>
      </c>
      <c r="E464" t="str">
        <f>VLOOKUP(B464,[1]pivottables!$F$2:$G$52,2,0)</f>
        <v>CZE</v>
      </c>
      <c r="F464">
        <v>5</v>
      </c>
      <c r="G464">
        <f>VLOOKUP(C464,[1]products!$B$2:$E$27,4,0)</f>
        <v>90.44</v>
      </c>
      <c r="H464">
        <f t="shared" si="7"/>
        <v>452.2</v>
      </c>
    </row>
    <row r="465" spans="1:8" x14ac:dyDescent="0.3">
      <c r="A465">
        <v>464</v>
      </c>
      <c r="B465">
        <v>5</v>
      </c>
      <c r="C465">
        <v>114</v>
      </c>
      <c r="D465" s="6">
        <v>42537</v>
      </c>
      <c r="E465" t="str">
        <f>VLOOKUP(B465,[1]pivottables!$F$2:$G$52,2,0)</f>
        <v>USA</v>
      </c>
      <c r="F465">
        <v>4</v>
      </c>
      <c r="G465">
        <f>VLOOKUP(C465,[1]products!$B$2:$E$27,4,0)</f>
        <v>74.38</v>
      </c>
      <c r="H465">
        <f t="shared" si="7"/>
        <v>297.52</v>
      </c>
    </row>
    <row r="466" spans="1:8" x14ac:dyDescent="0.3">
      <c r="A466">
        <v>465</v>
      </c>
      <c r="B466">
        <v>16</v>
      </c>
      <c r="C466">
        <v>103</v>
      </c>
      <c r="D466" s="6">
        <v>42303</v>
      </c>
      <c r="E466" t="str">
        <f>VLOOKUP(B466,[1]pivottables!$F$2:$G$52,2,0)</f>
        <v>JPN</v>
      </c>
      <c r="F466">
        <v>3</v>
      </c>
      <c r="G466">
        <f>VLOOKUP(C466,[1]products!$B$2:$E$27,4,0)</f>
        <v>108.96</v>
      </c>
      <c r="H466">
        <f t="shared" si="7"/>
        <v>326.88</v>
      </c>
    </row>
    <row r="467" spans="1:8" x14ac:dyDescent="0.3">
      <c r="A467">
        <v>466</v>
      </c>
      <c r="B467">
        <v>30</v>
      </c>
      <c r="C467">
        <v>123</v>
      </c>
      <c r="D467" s="6">
        <v>43096</v>
      </c>
      <c r="E467" t="str">
        <f>VLOOKUP(B467,[1]pivottables!$F$2:$G$52,2,0)</f>
        <v>FRA</v>
      </c>
      <c r="F467">
        <v>4</v>
      </c>
      <c r="G467">
        <f>VLOOKUP(C467,[1]products!$B$2:$E$27,4,0)</f>
        <v>39.67</v>
      </c>
      <c r="H467">
        <f t="shared" si="7"/>
        <v>158.68</v>
      </c>
    </row>
    <row r="468" spans="1:8" x14ac:dyDescent="0.3">
      <c r="A468">
        <v>467</v>
      </c>
      <c r="B468">
        <v>36</v>
      </c>
      <c r="C468">
        <v>115</v>
      </c>
      <c r="D468" s="6">
        <v>43092</v>
      </c>
      <c r="E468" t="str">
        <f>VLOOKUP(B468,[1]pivottables!$F$2:$G$52,2,0)</f>
        <v>FRA</v>
      </c>
      <c r="F468">
        <v>2</v>
      </c>
      <c r="G468">
        <f>VLOOKUP(C468,[1]products!$B$2:$E$27,4,0)</f>
        <v>22.55</v>
      </c>
      <c r="H468">
        <f t="shared" si="7"/>
        <v>45.1</v>
      </c>
    </row>
    <row r="469" spans="1:8" x14ac:dyDescent="0.3">
      <c r="A469">
        <v>468</v>
      </c>
      <c r="B469">
        <v>26</v>
      </c>
      <c r="C469">
        <v>106</v>
      </c>
      <c r="D469" s="6">
        <v>42995</v>
      </c>
      <c r="E469" t="str">
        <f>VLOOKUP(B469,[1]pivottables!$F$2:$G$52,2,0)</f>
        <v>NLD</v>
      </c>
      <c r="F469">
        <v>2</v>
      </c>
      <c r="G469">
        <f>VLOOKUP(C469,[1]products!$B$2:$E$27,4,0)</f>
        <v>132.88</v>
      </c>
      <c r="H469">
        <f t="shared" si="7"/>
        <v>265.76</v>
      </c>
    </row>
    <row r="470" spans="1:8" x14ac:dyDescent="0.3">
      <c r="A470">
        <v>469</v>
      </c>
      <c r="B470">
        <v>23</v>
      </c>
      <c r="C470">
        <v>115</v>
      </c>
      <c r="D470" s="6">
        <v>42339</v>
      </c>
      <c r="E470" t="str">
        <f>VLOOKUP(B470,[1]pivottables!$F$2:$G$52,2,0)</f>
        <v>GBR</v>
      </c>
      <c r="F470">
        <v>4</v>
      </c>
      <c r="G470">
        <f>VLOOKUP(C470,[1]products!$B$2:$E$27,4,0)</f>
        <v>22.55</v>
      </c>
      <c r="H470">
        <f t="shared" si="7"/>
        <v>90.2</v>
      </c>
    </row>
    <row r="471" spans="1:8" x14ac:dyDescent="0.3">
      <c r="A471">
        <v>470</v>
      </c>
      <c r="B471">
        <v>25</v>
      </c>
      <c r="C471">
        <v>108</v>
      </c>
      <c r="D471" s="6">
        <v>42496</v>
      </c>
      <c r="E471" t="str">
        <f>VLOOKUP(B471,[1]pivottables!$F$2:$G$52,2,0)</f>
        <v>CHN</v>
      </c>
      <c r="F471">
        <v>2</v>
      </c>
      <c r="G471">
        <f>VLOOKUP(C471,[1]products!$B$2:$E$27,4,0)</f>
        <v>137.97999999999999</v>
      </c>
      <c r="H471">
        <f t="shared" si="7"/>
        <v>275.95999999999998</v>
      </c>
    </row>
    <row r="472" spans="1:8" x14ac:dyDescent="0.3">
      <c r="A472">
        <v>471</v>
      </c>
      <c r="B472">
        <v>26</v>
      </c>
      <c r="C472">
        <v>102</v>
      </c>
      <c r="D472" s="6">
        <v>42222</v>
      </c>
      <c r="E472" t="str">
        <f>VLOOKUP(B472,[1]pivottables!$F$2:$G$52,2,0)</f>
        <v>NLD</v>
      </c>
      <c r="F472">
        <v>5</v>
      </c>
      <c r="G472">
        <f>VLOOKUP(C472,[1]products!$B$2:$E$27,4,0)</f>
        <v>14.94</v>
      </c>
      <c r="H472">
        <f t="shared" si="7"/>
        <v>74.7</v>
      </c>
    </row>
    <row r="473" spans="1:8" x14ac:dyDescent="0.3">
      <c r="A473">
        <v>472</v>
      </c>
      <c r="B473">
        <v>26</v>
      </c>
      <c r="C473">
        <v>115</v>
      </c>
      <c r="D473" s="6">
        <v>42756</v>
      </c>
      <c r="E473" t="str">
        <f>VLOOKUP(B473,[1]pivottables!$F$2:$G$52,2,0)</f>
        <v>NLD</v>
      </c>
      <c r="F473">
        <v>4</v>
      </c>
      <c r="G473">
        <f>VLOOKUP(C473,[1]products!$B$2:$E$27,4,0)</f>
        <v>22.55</v>
      </c>
      <c r="H473">
        <f t="shared" si="7"/>
        <v>90.2</v>
      </c>
    </row>
    <row r="474" spans="1:8" x14ac:dyDescent="0.3">
      <c r="A474">
        <v>473</v>
      </c>
      <c r="B474">
        <v>6</v>
      </c>
      <c r="C474">
        <v>113</v>
      </c>
      <c r="D474" s="6">
        <v>42863</v>
      </c>
      <c r="E474" t="str">
        <f>VLOOKUP(B474,[1]pivottables!$F$2:$G$52,2,0)</f>
        <v>CAN</v>
      </c>
      <c r="F474">
        <v>3</v>
      </c>
      <c r="G474">
        <f>VLOOKUP(C474,[1]products!$B$2:$E$27,4,0)</f>
        <v>9.89</v>
      </c>
      <c r="H474">
        <f t="shared" si="7"/>
        <v>29.67</v>
      </c>
    </row>
    <row r="475" spans="1:8" x14ac:dyDescent="0.3">
      <c r="A475">
        <v>474</v>
      </c>
      <c r="B475">
        <v>1</v>
      </c>
      <c r="C475">
        <v>107</v>
      </c>
      <c r="D475" s="6">
        <v>42050</v>
      </c>
      <c r="E475" t="str">
        <f>VLOOKUP(B475,[1]pivottables!$F$2:$G$52,2,0)</f>
        <v>FRA</v>
      </c>
      <c r="F475">
        <v>2</v>
      </c>
      <c r="G475">
        <f>VLOOKUP(C475,[1]products!$B$2:$E$27,4,0)</f>
        <v>43.1</v>
      </c>
      <c r="H475">
        <f t="shared" si="7"/>
        <v>86.2</v>
      </c>
    </row>
    <row r="476" spans="1:8" x14ac:dyDescent="0.3">
      <c r="A476">
        <v>475</v>
      </c>
      <c r="B476">
        <v>37</v>
      </c>
      <c r="C476">
        <v>119</v>
      </c>
      <c r="D476" s="6">
        <v>42832</v>
      </c>
      <c r="E476" t="str">
        <f>VLOOKUP(B476,[1]pivottables!$F$2:$G$52,2,0)</f>
        <v>GBR</v>
      </c>
      <c r="F476">
        <v>5</v>
      </c>
      <c r="G476">
        <f>VLOOKUP(C476,[1]products!$B$2:$E$27,4,0)</f>
        <v>74.55</v>
      </c>
      <c r="H476">
        <f t="shared" si="7"/>
        <v>372.75</v>
      </c>
    </row>
    <row r="477" spans="1:8" x14ac:dyDescent="0.3">
      <c r="A477">
        <v>476</v>
      </c>
      <c r="B477">
        <v>43</v>
      </c>
      <c r="C477">
        <v>110</v>
      </c>
      <c r="D477" s="6">
        <v>42632</v>
      </c>
      <c r="E477" t="str">
        <f>VLOOKUP(B477,[1]pivottables!$F$2:$G$52,2,0)</f>
        <v>FRA</v>
      </c>
      <c r="F477">
        <v>2</v>
      </c>
      <c r="G477">
        <f>VLOOKUP(C477,[1]products!$B$2:$E$27,4,0)</f>
        <v>10.76</v>
      </c>
      <c r="H477">
        <f t="shared" si="7"/>
        <v>21.52</v>
      </c>
    </row>
    <row r="478" spans="1:8" x14ac:dyDescent="0.3">
      <c r="A478">
        <v>477</v>
      </c>
      <c r="B478">
        <v>41</v>
      </c>
      <c r="C478">
        <v>101</v>
      </c>
      <c r="D478" s="6">
        <v>42541</v>
      </c>
      <c r="E478" t="str">
        <f>VLOOKUP(B478,[1]pivottables!$F$2:$G$52,2,0)</f>
        <v>FRA</v>
      </c>
      <c r="F478">
        <v>3</v>
      </c>
      <c r="G478">
        <f>VLOOKUP(C478,[1]products!$B$2:$E$27,4,0)</f>
        <v>108.61</v>
      </c>
      <c r="H478">
        <f t="shared" si="7"/>
        <v>325.83</v>
      </c>
    </row>
    <row r="479" spans="1:8" x14ac:dyDescent="0.3">
      <c r="A479">
        <v>478</v>
      </c>
      <c r="B479">
        <v>26</v>
      </c>
      <c r="C479">
        <v>124</v>
      </c>
      <c r="D479" s="6">
        <v>42312</v>
      </c>
      <c r="E479" t="str">
        <f>VLOOKUP(B479,[1]pivottables!$F$2:$G$52,2,0)</f>
        <v>NLD</v>
      </c>
      <c r="F479">
        <v>4</v>
      </c>
      <c r="G479">
        <f>VLOOKUP(C479,[1]products!$B$2:$E$27,4,0)</f>
        <v>108.54</v>
      </c>
      <c r="H479">
        <f t="shared" si="7"/>
        <v>434.16</v>
      </c>
    </row>
    <row r="480" spans="1:8" x14ac:dyDescent="0.3">
      <c r="A480">
        <v>479</v>
      </c>
      <c r="B480">
        <v>41</v>
      </c>
      <c r="C480">
        <v>125</v>
      </c>
      <c r="D480" s="6">
        <v>42383</v>
      </c>
      <c r="E480" t="str">
        <f>VLOOKUP(B480,[1]pivottables!$F$2:$G$52,2,0)</f>
        <v>FRA</v>
      </c>
      <c r="F480">
        <v>5</v>
      </c>
      <c r="G480">
        <f>VLOOKUP(C480,[1]products!$B$2:$E$27,4,0)</f>
        <v>90.44</v>
      </c>
      <c r="H480">
        <f t="shared" si="7"/>
        <v>452.2</v>
      </c>
    </row>
    <row r="481" spans="1:8" x14ac:dyDescent="0.3">
      <c r="A481">
        <v>480</v>
      </c>
      <c r="B481">
        <v>24</v>
      </c>
      <c r="C481">
        <v>101</v>
      </c>
      <c r="D481" s="6">
        <v>42188</v>
      </c>
      <c r="E481" t="str">
        <f>VLOOKUP(B481,[1]pivottables!$F$2:$G$52,2,0)</f>
        <v>NLD</v>
      </c>
      <c r="F481">
        <v>4</v>
      </c>
      <c r="G481">
        <f>VLOOKUP(C481,[1]products!$B$2:$E$27,4,0)</f>
        <v>108.61</v>
      </c>
      <c r="H481">
        <f t="shared" si="7"/>
        <v>434.44</v>
      </c>
    </row>
    <row r="482" spans="1:8" x14ac:dyDescent="0.3">
      <c r="A482">
        <v>481</v>
      </c>
      <c r="B482">
        <v>41</v>
      </c>
      <c r="C482">
        <v>104</v>
      </c>
      <c r="D482" s="6">
        <v>42186</v>
      </c>
      <c r="E482" t="str">
        <f>VLOOKUP(B482,[1]pivottables!$F$2:$G$52,2,0)</f>
        <v>FRA</v>
      </c>
      <c r="F482">
        <v>4</v>
      </c>
      <c r="G482">
        <f>VLOOKUP(C482,[1]products!$B$2:$E$27,4,0)</f>
        <v>122.18</v>
      </c>
      <c r="H482">
        <f t="shared" si="7"/>
        <v>488.72</v>
      </c>
    </row>
    <row r="483" spans="1:8" x14ac:dyDescent="0.3">
      <c r="A483">
        <v>482</v>
      </c>
      <c r="B483">
        <v>12</v>
      </c>
      <c r="C483">
        <v>109</v>
      </c>
      <c r="D483" s="6">
        <v>43020</v>
      </c>
      <c r="E483" t="str">
        <f>VLOOKUP(B483,[1]pivottables!$F$2:$G$52,2,0)</f>
        <v>FRA</v>
      </c>
      <c r="F483">
        <v>4</v>
      </c>
      <c r="G483">
        <f>VLOOKUP(C483,[1]products!$B$2:$E$27,4,0)</f>
        <v>143.97999999999999</v>
      </c>
      <c r="H483">
        <f t="shared" si="7"/>
        <v>575.91999999999996</v>
      </c>
    </row>
    <row r="484" spans="1:8" x14ac:dyDescent="0.3">
      <c r="A484">
        <v>483</v>
      </c>
      <c r="B484">
        <v>35</v>
      </c>
      <c r="C484">
        <v>124</v>
      </c>
      <c r="D484" s="6">
        <v>43099</v>
      </c>
      <c r="E484" t="str">
        <f>VLOOKUP(B484,[1]pivottables!$F$2:$G$52,2,0)</f>
        <v>JPN</v>
      </c>
      <c r="F484">
        <v>2</v>
      </c>
      <c r="G484">
        <f>VLOOKUP(C484,[1]products!$B$2:$E$27,4,0)</f>
        <v>108.54</v>
      </c>
      <c r="H484">
        <f t="shared" si="7"/>
        <v>217.08</v>
      </c>
    </row>
    <row r="485" spans="1:8" x14ac:dyDescent="0.3">
      <c r="A485">
        <v>484</v>
      </c>
      <c r="B485">
        <v>10</v>
      </c>
      <c r="C485">
        <v>117</v>
      </c>
      <c r="D485" s="6">
        <v>42272</v>
      </c>
      <c r="E485" t="str">
        <f>VLOOKUP(B485,[1]pivottables!$F$2:$G$52,2,0)</f>
        <v>NLD</v>
      </c>
      <c r="F485">
        <v>4</v>
      </c>
      <c r="G485">
        <f>VLOOKUP(C485,[1]products!$B$2:$E$27,4,0)</f>
        <v>47.38</v>
      </c>
      <c r="H485">
        <f t="shared" si="7"/>
        <v>189.52</v>
      </c>
    </row>
    <row r="486" spans="1:8" x14ac:dyDescent="0.3">
      <c r="A486">
        <v>485</v>
      </c>
      <c r="B486">
        <v>46</v>
      </c>
      <c r="C486">
        <v>100</v>
      </c>
      <c r="D486" s="6">
        <v>42804</v>
      </c>
      <c r="E486" t="str">
        <f>VLOOKUP(B486,[1]pivottables!$F$2:$G$52,2,0)</f>
        <v>JPN</v>
      </c>
      <c r="F486">
        <v>4</v>
      </c>
      <c r="G486">
        <f>VLOOKUP(C486,[1]products!$B$2:$E$27,4,0)</f>
        <v>30.29</v>
      </c>
      <c r="H486">
        <f t="shared" si="7"/>
        <v>121.16</v>
      </c>
    </row>
    <row r="487" spans="1:8" x14ac:dyDescent="0.3">
      <c r="A487">
        <v>486</v>
      </c>
      <c r="B487">
        <v>40</v>
      </c>
      <c r="C487">
        <v>121</v>
      </c>
      <c r="D487" s="6">
        <v>42834</v>
      </c>
      <c r="E487" t="str">
        <f>VLOOKUP(B487,[1]pivottables!$F$2:$G$52,2,0)</f>
        <v>JPN</v>
      </c>
      <c r="F487">
        <v>5</v>
      </c>
      <c r="G487">
        <f>VLOOKUP(C487,[1]products!$B$2:$E$27,4,0)</f>
        <v>49.09</v>
      </c>
      <c r="H487">
        <f t="shared" si="7"/>
        <v>245.45000000000002</v>
      </c>
    </row>
    <row r="488" spans="1:8" x14ac:dyDescent="0.3">
      <c r="A488">
        <v>487</v>
      </c>
      <c r="B488">
        <v>1</v>
      </c>
      <c r="C488">
        <v>116</v>
      </c>
      <c r="D488" s="6">
        <v>42667</v>
      </c>
      <c r="E488" t="str">
        <f>VLOOKUP(B488,[1]pivottables!$F$2:$G$52,2,0)</f>
        <v>FRA</v>
      </c>
      <c r="F488">
        <v>1</v>
      </c>
      <c r="G488">
        <f>VLOOKUP(C488,[1]products!$B$2:$E$27,4,0)</f>
        <v>137.19999999999999</v>
      </c>
      <c r="H488">
        <f t="shared" si="7"/>
        <v>137.19999999999999</v>
      </c>
    </row>
    <row r="489" spans="1:8" x14ac:dyDescent="0.3">
      <c r="A489">
        <v>488</v>
      </c>
      <c r="B489">
        <v>44</v>
      </c>
      <c r="C489">
        <v>119</v>
      </c>
      <c r="D489" s="6">
        <v>42674</v>
      </c>
      <c r="E489" t="str">
        <f>VLOOKUP(B489,[1]pivottables!$F$2:$G$52,2,0)</f>
        <v>CHN</v>
      </c>
      <c r="F489">
        <v>5</v>
      </c>
      <c r="G489">
        <f>VLOOKUP(C489,[1]products!$B$2:$E$27,4,0)</f>
        <v>74.55</v>
      </c>
      <c r="H489">
        <f t="shared" si="7"/>
        <v>372.75</v>
      </c>
    </row>
    <row r="490" spans="1:8" x14ac:dyDescent="0.3">
      <c r="A490">
        <v>489</v>
      </c>
      <c r="B490">
        <v>40</v>
      </c>
      <c r="C490">
        <v>112</v>
      </c>
      <c r="D490" s="6">
        <v>42322</v>
      </c>
      <c r="E490" t="str">
        <f>VLOOKUP(B490,[1]pivottables!$F$2:$G$52,2,0)</f>
        <v>JPN</v>
      </c>
      <c r="F490">
        <v>3</v>
      </c>
      <c r="G490">
        <f>VLOOKUP(C490,[1]products!$B$2:$E$27,4,0)</f>
        <v>106.3</v>
      </c>
      <c r="H490">
        <f t="shared" si="7"/>
        <v>318.89999999999998</v>
      </c>
    </row>
    <row r="491" spans="1:8" x14ac:dyDescent="0.3">
      <c r="A491">
        <v>490</v>
      </c>
      <c r="B491">
        <v>2</v>
      </c>
      <c r="C491">
        <v>117</v>
      </c>
      <c r="D491" s="6">
        <v>42540</v>
      </c>
      <c r="E491" t="str">
        <f>VLOOKUP(B491,[1]pivottables!$F$2:$G$52,2,0)</f>
        <v>CZE</v>
      </c>
      <c r="F491">
        <v>3</v>
      </c>
      <c r="G491">
        <f>VLOOKUP(C491,[1]products!$B$2:$E$27,4,0)</f>
        <v>47.38</v>
      </c>
      <c r="H491">
        <f t="shared" si="7"/>
        <v>142.14000000000001</v>
      </c>
    </row>
    <row r="492" spans="1:8" x14ac:dyDescent="0.3">
      <c r="A492">
        <v>491</v>
      </c>
      <c r="B492">
        <v>2</v>
      </c>
      <c r="C492">
        <v>106</v>
      </c>
      <c r="D492" s="6">
        <v>42095</v>
      </c>
      <c r="E492" t="str">
        <f>VLOOKUP(B492,[1]pivottables!$F$2:$G$52,2,0)</f>
        <v>CZE</v>
      </c>
      <c r="F492">
        <v>3</v>
      </c>
      <c r="G492">
        <f>VLOOKUP(C492,[1]products!$B$2:$E$27,4,0)</f>
        <v>132.88</v>
      </c>
      <c r="H492">
        <f t="shared" si="7"/>
        <v>398.64</v>
      </c>
    </row>
    <row r="493" spans="1:8" x14ac:dyDescent="0.3">
      <c r="A493">
        <v>492</v>
      </c>
      <c r="B493">
        <v>32</v>
      </c>
      <c r="C493">
        <v>120</v>
      </c>
      <c r="D493" s="6">
        <v>42028</v>
      </c>
      <c r="E493" t="str">
        <f>VLOOKUP(B493,[1]pivottables!$F$2:$G$52,2,0)</f>
        <v>NLD</v>
      </c>
      <c r="F493">
        <v>5</v>
      </c>
      <c r="G493">
        <f>VLOOKUP(C493,[1]products!$B$2:$E$27,4,0)</f>
        <v>17.13</v>
      </c>
      <c r="H493">
        <f t="shared" si="7"/>
        <v>85.649999999999991</v>
      </c>
    </row>
    <row r="494" spans="1:8" x14ac:dyDescent="0.3">
      <c r="A494">
        <v>493</v>
      </c>
      <c r="B494">
        <v>8</v>
      </c>
      <c r="C494">
        <v>111</v>
      </c>
      <c r="D494" s="6">
        <v>42110</v>
      </c>
      <c r="E494" t="str">
        <f>VLOOKUP(B494,[1]pivottables!$F$2:$G$52,2,0)</f>
        <v>CZE</v>
      </c>
      <c r="F494">
        <v>4</v>
      </c>
      <c r="G494">
        <f>VLOOKUP(C494,[1]products!$B$2:$E$27,4,0)</f>
        <v>149.93</v>
      </c>
      <c r="H494">
        <f t="shared" si="7"/>
        <v>599.72</v>
      </c>
    </row>
    <row r="495" spans="1:8" x14ac:dyDescent="0.3">
      <c r="A495">
        <v>494</v>
      </c>
      <c r="B495">
        <v>32</v>
      </c>
      <c r="C495">
        <v>124</v>
      </c>
      <c r="D495" s="6">
        <v>42974</v>
      </c>
      <c r="E495" t="str">
        <f>VLOOKUP(B495,[1]pivottables!$F$2:$G$52,2,0)</f>
        <v>NLD</v>
      </c>
      <c r="F495">
        <v>5</v>
      </c>
      <c r="G495">
        <f>VLOOKUP(C495,[1]products!$B$2:$E$27,4,0)</f>
        <v>108.54</v>
      </c>
      <c r="H495">
        <f t="shared" si="7"/>
        <v>542.70000000000005</v>
      </c>
    </row>
    <row r="496" spans="1:8" x14ac:dyDescent="0.3">
      <c r="A496">
        <v>495</v>
      </c>
      <c r="B496">
        <v>41</v>
      </c>
      <c r="C496">
        <v>109</v>
      </c>
      <c r="D496" s="6">
        <v>42282</v>
      </c>
      <c r="E496" t="str">
        <f>VLOOKUP(B496,[1]pivottables!$F$2:$G$52,2,0)</f>
        <v>FRA</v>
      </c>
      <c r="F496">
        <v>2</v>
      </c>
      <c r="G496">
        <f>VLOOKUP(C496,[1]products!$B$2:$E$27,4,0)</f>
        <v>143.97999999999999</v>
      </c>
      <c r="H496">
        <f t="shared" si="7"/>
        <v>287.95999999999998</v>
      </c>
    </row>
    <row r="497" spans="1:8" x14ac:dyDescent="0.3">
      <c r="A497">
        <v>496</v>
      </c>
      <c r="B497">
        <v>48</v>
      </c>
      <c r="C497">
        <v>117</v>
      </c>
      <c r="D497" s="6">
        <v>42137</v>
      </c>
      <c r="E497" t="str">
        <f>VLOOKUP(B497,[1]pivottables!$F$2:$G$52,2,0)</f>
        <v>GBR</v>
      </c>
      <c r="F497">
        <v>4</v>
      </c>
      <c r="G497">
        <f>VLOOKUP(C497,[1]products!$B$2:$E$27,4,0)</f>
        <v>47.38</v>
      </c>
      <c r="H497">
        <f t="shared" si="7"/>
        <v>189.52</v>
      </c>
    </row>
    <row r="498" spans="1:8" x14ac:dyDescent="0.3">
      <c r="A498">
        <v>497</v>
      </c>
      <c r="B498">
        <v>35</v>
      </c>
      <c r="C498">
        <v>125</v>
      </c>
      <c r="D498" s="6">
        <v>42392</v>
      </c>
      <c r="E498" t="str">
        <f>VLOOKUP(B498,[1]pivottables!$F$2:$G$52,2,0)</f>
        <v>JPN</v>
      </c>
      <c r="F498">
        <v>4</v>
      </c>
      <c r="G498">
        <f>VLOOKUP(C498,[1]products!$B$2:$E$27,4,0)</f>
        <v>90.44</v>
      </c>
      <c r="H498">
        <f t="shared" si="7"/>
        <v>361.76</v>
      </c>
    </row>
    <row r="499" spans="1:8" x14ac:dyDescent="0.3">
      <c r="A499">
        <v>498</v>
      </c>
      <c r="B499">
        <v>8</v>
      </c>
      <c r="C499">
        <v>100</v>
      </c>
      <c r="D499" s="6">
        <v>42763</v>
      </c>
      <c r="E499" t="str">
        <f>VLOOKUP(B499,[1]pivottables!$F$2:$G$52,2,0)</f>
        <v>CZE</v>
      </c>
      <c r="F499">
        <v>2</v>
      </c>
      <c r="G499">
        <f>VLOOKUP(C499,[1]products!$B$2:$E$27,4,0)</f>
        <v>30.29</v>
      </c>
      <c r="H499">
        <f t="shared" si="7"/>
        <v>60.58</v>
      </c>
    </row>
    <row r="500" spans="1:8" x14ac:dyDescent="0.3">
      <c r="A500">
        <v>499</v>
      </c>
      <c r="B500">
        <v>29</v>
      </c>
      <c r="C500">
        <v>117</v>
      </c>
      <c r="D500" s="6">
        <v>42283</v>
      </c>
      <c r="E500" t="str">
        <f>VLOOKUP(B500,[1]pivottables!$F$2:$G$52,2,0)</f>
        <v>FRA</v>
      </c>
      <c r="F500">
        <v>2</v>
      </c>
      <c r="G500">
        <f>VLOOKUP(C500,[1]products!$B$2:$E$27,4,0)</f>
        <v>47.38</v>
      </c>
      <c r="H500">
        <f t="shared" si="7"/>
        <v>94.76</v>
      </c>
    </row>
    <row r="501" spans="1:8" x14ac:dyDescent="0.3">
      <c r="A501">
        <v>500</v>
      </c>
      <c r="B501">
        <v>3</v>
      </c>
      <c r="C501">
        <v>124</v>
      </c>
      <c r="D501" s="6">
        <v>42192</v>
      </c>
      <c r="E501" t="str">
        <f>VLOOKUP(B501,[1]pivottables!$F$2:$G$52,2,0)</f>
        <v>NLD</v>
      </c>
      <c r="F501">
        <v>1</v>
      </c>
      <c r="G501">
        <f>VLOOKUP(C501,[1]products!$B$2:$E$27,4,0)</f>
        <v>108.54</v>
      </c>
      <c r="H501">
        <f t="shared" si="7"/>
        <v>108.54</v>
      </c>
    </row>
    <row r="502" spans="1:8" x14ac:dyDescent="0.3">
      <c r="A502">
        <v>501</v>
      </c>
      <c r="B502">
        <v>51</v>
      </c>
      <c r="D502" s="6">
        <v>42599</v>
      </c>
      <c r="E502" t="str">
        <f>VLOOKUP(B502,[1]pivottables!$F$2:$G$52,2,0)</f>
        <v>HUN</v>
      </c>
    </row>
  </sheetData>
  <phoneticPr fontId="5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502"/>
  <sheetViews>
    <sheetView tabSelected="1" workbookViewId="0">
      <selection activeCell="L20" sqref="L20"/>
    </sheetView>
  </sheetViews>
  <sheetFormatPr defaultRowHeight="16.5" x14ac:dyDescent="0.3"/>
  <cols>
    <col min="4" max="4" width="11.125" bestFit="1" customWidth="1"/>
  </cols>
  <sheetData>
    <row r="1" spans="1:8" x14ac:dyDescent="0.3">
      <c r="A1" t="s">
        <v>60</v>
      </c>
      <c r="B1" t="s">
        <v>61</v>
      </c>
      <c r="C1" t="s">
        <v>58</v>
      </c>
      <c r="D1" t="s">
        <v>62</v>
      </c>
      <c r="E1" t="s">
        <v>63</v>
      </c>
      <c r="F1" t="s">
        <v>64</v>
      </c>
      <c r="G1" t="s">
        <v>59</v>
      </c>
      <c r="H1" t="s">
        <v>65</v>
      </c>
    </row>
    <row r="2" spans="1:8" x14ac:dyDescent="0.3">
      <c r="A2">
        <v>1</v>
      </c>
      <c r="B2">
        <v>5</v>
      </c>
      <c r="C2">
        <v>113</v>
      </c>
      <c r="D2" s="6">
        <v>42507</v>
      </c>
      <c r="E2" t="str">
        <f>VLOOKUP(B2,[1]pivottables!$F$2:$G$52,2,0)</f>
        <v>USA</v>
      </c>
      <c r="F2">
        <v>4</v>
      </c>
      <c r="G2">
        <f>VLOOKUP(C2,[1]products!$B$2:$E$27,4,0)</f>
        <v>9.89</v>
      </c>
      <c r="H2">
        <f>G2*F2</f>
        <v>39.56</v>
      </c>
    </row>
    <row r="3" spans="1:8" x14ac:dyDescent="0.3">
      <c r="A3">
        <v>2</v>
      </c>
      <c r="B3">
        <v>37</v>
      </c>
      <c r="C3">
        <v>101</v>
      </c>
      <c r="D3" s="6">
        <v>42790</v>
      </c>
      <c r="E3" t="str">
        <f>VLOOKUP(B3,[1]pivottables!$F$2:$G$52,2,0)</f>
        <v>GBR</v>
      </c>
      <c r="F3">
        <v>2</v>
      </c>
      <c r="G3">
        <f>VLOOKUP(C3,[1]products!$B$2:$E$27,4,0)</f>
        <v>108.61</v>
      </c>
      <c r="H3">
        <f t="shared" ref="H3:H66" si="0">G3*F3</f>
        <v>217.22</v>
      </c>
    </row>
    <row r="4" spans="1:8" x14ac:dyDescent="0.3">
      <c r="A4">
        <v>3</v>
      </c>
      <c r="B4">
        <v>33</v>
      </c>
      <c r="C4">
        <v>101</v>
      </c>
      <c r="D4" s="6">
        <v>42121</v>
      </c>
      <c r="E4" t="str">
        <f>VLOOKUP(B4,[1]pivottables!$F$2:$G$52,2,0)</f>
        <v>NLD</v>
      </c>
      <c r="F4">
        <v>1</v>
      </c>
      <c r="G4">
        <f>VLOOKUP(C4,[1]products!$B$2:$E$27,4,0)</f>
        <v>108.61</v>
      </c>
      <c r="H4">
        <f t="shared" si="0"/>
        <v>108.61</v>
      </c>
    </row>
    <row r="5" spans="1:8" x14ac:dyDescent="0.3">
      <c r="A5">
        <v>4</v>
      </c>
      <c r="B5">
        <v>26</v>
      </c>
      <c r="C5">
        <v>117</v>
      </c>
      <c r="D5" s="6">
        <v>42811</v>
      </c>
      <c r="E5" t="str">
        <f>VLOOKUP(B5,[1]pivottables!$F$2:$G$52,2,0)</f>
        <v>NLD</v>
      </c>
      <c r="F5">
        <v>2</v>
      </c>
      <c r="G5">
        <f>VLOOKUP(C5,[1]products!$B$2:$E$27,4,0)</f>
        <v>47.38</v>
      </c>
      <c r="H5">
        <f t="shared" si="0"/>
        <v>94.76</v>
      </c>
    </row>
    <row r="6" spans="1:8" x14ac:dyDescent="0.3">
      <c r="A6">
        <v>5</v>
      </c>
      <c r="B6">
        <v>45</v>
      </c>
      <c r="C6">
        <v>115</v>
      </c>
      <c r="D6" s="6">
        <v>43024</v>
      </c>
      <c r="E6" t="str">
        <f>VLOOKUP(B6,[1]pivottables!$F$2:$G$52,2,0)</f>
        <v>NLD</v>
      </c>
      <c r="F6">
        <v>2</v>
      </c>
      <c r="G6">
        <f>VLOOKUP(C6,[1]products!$B$2:$E$27,4,0)</f>
        <v>22.55</v>
      </c>
      <c r="H6">
        <f t="shared" si="0"/>
        <v>45.1</v>
      </c>
    </row>
    <row r="7" spans="1:8" x14ac:dyDescent="0.3">
      <c r="A7">
        <v>6</v>
      </c>
      <c r="B7">
        <v>27</v>
      </c>
      <c r="C7">
        <v>107</v>
      </c>
      <c r="D7" s="6">
        <v>42819</v>
      </c>
      <c r="E7" t="str">
        <f>VLOOKUP(B7,[1]pivottables!$F$2:$G$52,2,0)</f>
        <v>ITA</v>
      </c>
      <c r="F7">
        <v>3</v>
      </c>
      <c r="G7">
        <f>VLOOKUP(C7,[1]products!$B$2:$E$27,4,0)</f>
        <v>43.1</v>
      </c>
      <c r="H7">
        <f t="shared" si="0"/>
        <v>129.30000000000001</v>
      </c>
    </row>
    <row r="8" spans="1:8" x14ac:dyDescent="0.3">
      <c r="A8">
        <v>7</v>
      </c>
      <c r="B8">
        <v>24</v>
      </c>
      <c r="C8">
        <v>107</v>
      </c>
      <c r="D8" s="6">
        <v>42500</v>
      </c>
      <c r="E8" t="str">
        <f>VLOOKUP(B8,[1]pivottables!$F$2:$G$52,2,0)</f>
        <v>NLD</v>
      </c>
      <c r="F8">
        <v>5</v>
      </c>
      <c r="G8">
        <f>VLOOKUP(C8,[1]products!$B$2:$E$27,4,0)</f>
        <v>43.1</v>
      </c>
      <c r="H8">
        <f t="shared" si="0"/>
        <v>215.5</v>
      </c>
    </row>
    <row r="9" spans="1:8" x14ac:dyDescent="0.3">
      <c r="A9">
        <v>8</v>
      </c>
      <c r="B9">
        <v>32</v>
      </c>
      <c r="C9">
        <v>116</v>
      </c>
      <c r="D9" s="6">
        <v>42069</v>
      </c>
      <c r="E9" t="str">
        <f>VLOOKUP(B9,[1]pivottables!$F$2:$G$52,2,0)</f>
        <v>NLD</v>
      </c>
      <c r="F9">
        <v>3</v>
      </c>
      <c r="G9">
        <f>VLOOKUP(C9,[1]products!$B$2:$E$27,4,0)</f>
        <v>137.19999999999999</v>
      </c>
      <c r="H9">
        <f t="shared" si="0"/>
        <v>411.59999999999997</v>
      </c>
    </row>
    <row r="10" spans="1:8" x14ac:dyDescent="0.3">
      <c r="A10">
        <v>9</v>
      </c>
      <c r="B10">
        <v>38</v>
      </c>
      <c r="C10">
        <v>105</v>
      </c>
      <c r="D10" s="6">
        <v>42920</v>
      </c>
      <c r="E10" t="str">
        <f>VLOOKUP(B10,[1]pivottables!$F$2:$G$52,2,0)</f>
        <v>USA</v>
      </c>
      <c r="F10">
        <v>3</v>
      </c>
      <c r="G10">
        <f>VLOOKUP(C10,[1]products!$B$2:$E$27,4,0)</f>
        <v>149.93</v>
      </c>
      <c r="H10">
        <f t="shared" si="0"/>
        <v>449.79</v>
      </c>
    </row>
    <row r="11" spans="1:8" x14ac:dyDescent="0.3">
      <c r="A11">
        <v>10</v>
      </c>
      <c r="B11">
        <v>17</v>
      </c>
      <c r="C11">
        <v>114</v>
      </c>
      <c r="D11" s="6">
        <v>42873</v>
      </c>
      <c r="E11" t="str">
        <f>VLOOKUP(B11,[1]pivottables!$F$2:$G$52,2,0)</f>
        <v>CAN</v>
      </c>
      <c r="F11">
        <v>5</v>
      </c>
      <c r="G11">
        <f>VLOOKUP(C11,[1]products!$B$2:$E$27,4,0)</f>
        <v>74.38</v>
      </c>
      <c r="H11">
        <f t="shared" si="0"/>
        <v>371.9</v>
      </c>
    </row>
    <row r="12" spans="1:8" x14ac:dyDescent="0.3">
      <c r="A12">
        <v>11</v>
      </c>
      <c r="B12">
        <v>37</v>
      </c>
      <c r="C12">
        <v>110</v>
      </c>
      <c r="D12" s="6">
        <v>42206</v>
      </c>
      <c r="E12" t="str">
        <f>VLOOKUP(B12,[1]pivottables!$F$2:$G$52,2,0)</f>
        <v>GBR</v>
      </c>
      <c r="F12">
        <v>2</v>
      </c>
      <c r="G12">
        <f>VLOOKUP(C12,[1]products!$B$2:$E$27,4,0)</f>
        <v>10.76</v>
      </c>
      <c r="H12">
        <f t="shared" si="0"/>
        <v>21.52</v>
      </c>
    </row>
    <row r="13" spans="1:8" x14ac:dyDescent="0.3">
      <c r="A13">
        <v>12</v>
      </c>
      <c r="B13">
        <v>32</v>
      </c>
      <c r="C13">
        <v>104</v>
      </c>
      <c r="D13" s="6">
        <v>42330</v>
      </c>
      <c r="E13" t="str">
        <f>VLOOKUP(B13,[1]pivottables!$F$2:$G$52,2,0)</f>
        <v>NLD</v>
      </c>
      <c r="F13">
        <v>5</v>
      </c>
      <c r="G13">
        <f>VLOOKUP(C13,[1]products!$B$2:$E$27,4,0)</f>
        <v>122.18</v>
      </c>
      <c r="H13">
        <f t="shared" si="0"/>
        <v>610.90000000000009</v>
      </c>
    </row>
    <row r="14" spans="1:8" x14ac:dyDescent="0.3">
      <c r="A14">
        <v>13</v>
      </c>
      <c r="B14">
        <v>41</v>
      </c>
      <c r="C14">
        <v>123</v>
      </c>
      <c r="D14" s="6">
        <v>42992</v>
      </c>
      <c r="E14" t="str">
        <f>VLOOKUP(B14,[1]pivottables!$F$2:$G$52,2,0)</f>
        <v>FRA</v>
      </c>
      <c r="F14">
        <v>5</v>
      </c>
      <c r="G14">
        <f>VLOOKUP(C14,[1]products!$B$2:$E$27,4,0)</f>
        <v>39.67</v>
      </c>
      <c r="H14">
        <f t="shared" si="0"/>
        <v>198.35000000000002</v>
      </c>
    </row>
    <row r="15" spans="1:8" x14ac:dyDescent="0.3">
      <c r="A15">
        <v>14</v>
      </c>
      <c r="B15">
        <v>46</v>
      </c>
      <c r="C15">
        <v>109</v>
      </c>
      <c r="D15" s="6">
        <v>43003</v>
      </c>
      <c r="E15" t="str">
        <f>VLOOKUP(B15,[1]pivottables!$F$2:$G$52,2,0)</f>
        <v>JPN</v>
      </c>
      <c r="F15">
        <v>2</v>
      </c>
      <c r="G15">
        <f>VLOOKUP(C15,[1]products!$B$2:$E$27,4,0)</f>
        <v>143.97999999999999</v>
      </c>
      <c r="H15">
        <f t="shared" si="0"/>
        <v>287.95999999999998</v>
      </c>
    </row>
    <row r="16" spans="1:8" x14ac:dyDescent="0.3">
      <c r="A16">
        <v>15</v>
      </c>
      <c r="B16">
        <v>6</v>
      </c>
      <c r="C16">
        <v>100</v>
      </c>
      <c r="D16" s="6">
        <v>42878</v>
      </c>
      <c r="E16" t="str">
        <f>VLOOKUP(B16,[1]pivottables!$F$2:$G$52,2,0)</f>
        <v>CAN</v>
      </c>
      <c r="F16">
        <v>2</v>
      </c>
      <c r="G16">
        <f>VLOOKUP(C16,[1]products!$B$2:$E$27,4,0)</f>
        <v>30.29</v>
      </c>
      <c r="H16">
        <f t="shared" si="0"/>
        <v>60.58</v>
      </c>
    </row>
    <row r="17" spans="1:8" x14ac:dyDescent="0.3">
      <c r="A17">
        <v>16</v>
      </c>
      <c r="B17">
        <v>18</v>
      </c>
      <c r="C17">
        <v>101</v>
      </c>
      <c r="D17" s="6">
        <v>42512</v>
      </c>
      <c r="E17" t="str">
        <f>VLOOKUP(B17,[1]pivottables!$F$2:$G$52,2,0)</f>
        <v>JPN</v>
      </c>
      <c r="F17">
        <v>4</v>
      </c>
      <c r="G17">
        <f>VLOOKUP(C17,[1]products!$B$2:$E$27,4,0)</f>
        <v>108.61</v>
      </c>
      <c r="H17">
        <f t="shared" si="0"/>
        <v>434.44</v>
      </c>
    </row>
    <row r="18" spans="1:8" x14ac:dyDescent="0.3">
      <c r="A18">
        <v>17</v>
      </c>
      <c r="B18">
        <v>47</v>
      </c>
      <c r="C18">
        <v>112</v>
      </c>
      <c r="D18" s="6">
        <v>42560</v>
      </c>
      <c r="E18" t="str">
        <f>VLOOKUP(B18,[1]pivottables!$F$2:$G$52,2,0)</f>
        <v>CHN</v>
      </c>
      <c r="F18">
        <v>2</v>
      </c>
      <c r="G18">
        <f>VLOOKUP(C18,[1]products!$B$2:$E$27,4,0)</f>
        <v>106.3</v>
      </c>
      <c r="H18">
        <f t="shared" si="0"/>
        <v>212.6</v>
      </c>
    </row>
    <row r="19" spans="1:8" x14ac:dyDescent="0.3">
      <c r="A19">
        <v>18</v>
      </c>
      <c r="B19">
        <v>19</v>
      </c>
      <c r="C19">
        <v>100</v>
      </c>
      <c r="D19" s="6">
        <v>42804</v>
      </c>
      <c r="E19" t="str">
        <f>VLOOKUP(B19,[1]pivottables!$F$2:$G$52,2,0)</f>
        <v>NLD</v>
      </c>
      <c r="F19">
        <v>5</v>
      </c>
      <c r="G19">
        <f>VLOOKUP(C19,[1]products!$B$2:$E$27,4,0)</f>
        <v>30.29</v>
      </c>
      <c r="H19">
        <f t="shared" si="0"/>
        <v>151.44999999999999</v>
      </c>
    </row>
    <row r="20" spans="1:8" x14ac:dyDescent="0.3">
      <c r="A20">
        <v>19</v>
      </c>
      <c r="B20">
        <v>9</v>
      </c>
      <c r="C20">
        <v>122</v>
      </c>
      <c r="D20" s="6">
        <v>42201</v>
      </c>
      <c r="E20" t="str">
        <f>VLOOKUP(B20,[1]pivottables!$F$2:$G$52,2,0)</f>
        <v>HUN</v>
      </c>
      <c r="F20">
        <v>4</v>
      </c>
      <c r="G20">
        <f>VLOOKUP(C20,[1]products!$B$2:$E$27,4,0)</f>
        <v>32.64</v>
      </c>
      <c r="H20">
        <f t="shared" si="0"/>
        <v>130.56</v>
      </c>
    </row>
    <row r="21" spans="1:8" x14ac:dyDescent="0.3">
      <c r="A21">
        <v>20</v>
      </c>
      <c r="B21">
        <v>36</v>
      </c>
      <c r="C21">
        <v>122</v>
      </c>
      <c r="D21" s="6">
        <v>42998</v>
      </c>
      <c r="E21" t="str">
        <f>VLOOKUP(B21,[1]pivottables!$F$2:$G$52,2,0)</f>
        <v>FRA</v>
      </c>
      <c r="F21">
        <v>2</v>
      </c>
      <c r="G21">
        <f>VLOOKUP(C21,[1]products!$B$2:$E$27,4,0)</f>
        <v>32.64</v>
      </c>
      <c r="H21">
        <f t="shared" si="0"/>
        <v>65.28</v>
      </c>
    </row>
    <row r="22" spans="1:8" x14ac:dyDescent="0.3">
      <c r="A22">
        <v>21</v>
      </c>
      <c r="B22">
        <v>21</v>
      </c>
      <c r="C22">
        <v>116</v>
      </c>
      <c r="D22" s="6">
        <v>42233</v>
      </c>
      <c r="E22" t="str">
        <f>VLOOKUP(B22,[1]pivottables!$F$2:$G$52,2,0)</f>
        <v>HUN</v>
      </c>
      <c r="F22">
        <v>1</v>
      </c>
      <c r="G22">
        <f>VLOOKUP(C22,[1]products!$B$2:$E$27,4,0)</f>
        <v>137.19999999999999</v>
      </c>
      <c r="H22">
        <f t="shared" si="0"/>
        <v>137.19999999999999</v>
      </c>
    </row>
    <row r="23" spans="1:8" x14ac:dyDescent="0.3">
      <c r="A23">
        <v>22</v>
      </c>
      <c r="B23">
        <v>28</v>
      </c>
      <c r="C23">
        <v>115</v>
      </c>
      <c r="D23" s="6">
        <v>43098</v>
      </c>
      <c r="E23" t="str">
        <f>VLOOKUP(B23,[1]pivottables!$F$2:$G$52,2,0)</f>
        <v>FRA</v>
      </c>
      <c r="F23">
        <v>4</v>
      </c>
      <c r="G23">
        <f>VLOOKUP(C23,[1]products!$B$2:$E$27,4,0)</f>
        <v>22.55</v>
      </c>
      <c r="H23">
        <f t="shared" si="0"/>
        <v>90.2</v>
      </c>
    </row>
    <row r="24" spans="1:8" x14ac:dyDescent="0.3">
      <c r="A24">
        <v>23</v>
      </c>
      <c r="B24">
        <v>10</v>
      </c>
      <c r="C24">
        <v>113</v>
      </c>
      <c r="D24" s="6">
        <v>42694</v>
      </c>
      <c r="E24" t="str">
        <f>VLOOKUP(B24,[1]pivottables!$F$2:$G$52,2,0)</f>
        <v>NLD</v>
      </c>
      <c r="F24">
        <v>3</v>
      </c>
      <c r="G24">
        <f>VLOOKUP(C24,[1]products!$B$2:$E$27,4,0)</f>
        <v>9.89</v>
      </c>
      <c r="H24">
        <f t="shared" si="0"/>
        <v>29.67</v>
      </c>
    </row>
    <row r="25" spans="1:8" x14ac:dyDescent="0.3">
      <c r="A25">
        <v>24</v>
      </c>
      <c r="B25">
        <v>18</v>
      </c>
      <c r="C25">
        <v>124</v>
      </c>
      <c r="D25" s="6">
        <v>42396</v>
      </c>
      <c r="E25" t="str">
        <f>VLOOKUP(B25,[1]pivottables!$F$2:$G$52,2,0)</f>
        <v>JPN</v>
      </c>
      <c r="F25">
        <v>5</v>
      </c>
      <c r="G25">
        <f>VLOOKUP(C25,[1]products!$B$2:$E$27,4,0)</f>
        <v>108.54</v>
      </c>
      <c r="H25">
        <f t="shared" si="0"/>
        <v>542.70000000000005</v>
      </c>
    </row>
    <row r="26" spans="1:8" x14ac:dyDescent="0.3">
      <c r="A26">
        <v>25</v>
      </c>
      <c r="B26">
        <v>50</v>
      </c>
      <c r="C26">
        <v>119</v>
      </c>
      <c r="D26" s="6">
        <v>42612</v>
      </c>
      <c r="E26" t="str">
        <f>VLOOKUP(B26,[1]pivottables!$F$2:$G$52,2,0)</f>
        <v>NLD</v>
      </c>
      <c r="F26">
        <v>2</v>
      </c>
      <c r="G26">
        <f>VLOOKUP(C26,[1]products!$B$2:$E$27,4,0)</f>
        <v>74.55</v>
      </c>
      <c r="H26">
        <f t="shared" si="0"/>
        <v>149.1</v>
      </c>
    </row>
    <row r="27" spans="1:8" x14ac:dyDescent="0.3">
      <c r="A27">
        <v>26</v>
      </c>
      <c r="B27">
        <v>1</v>
      </c>
      <c r="C27">
        <v>109</v>
      </c>
      <c r="D27" s="6">
        <v>42393</v>
      </c>
      <c r="E27" t="str">
        <f>VLOOKUP(B27,[1]pivottables!$F$2:$G$52,2,0)</f>
        <v>FRA</v>
      </c>
      <c r="F27">
        <v>5</v>
      </c>
      <c r="G27">
        <f>VLOOKUP(C27,[1]products!$B$2:$E$27,4,0)</f>
        <v>143.97999999999999</v>
      </c>
      <c r="H27">
        <f t="shared" si="0"/>
        <v>719.9</v>
      </c>
    </row>
    <row r="28" spans="1:8" x14ac:dyDescent="0.3">
      <c r="A28">
        <v>27</v>
      </c>
      <c r="B28">
        <v>41</v>
      </c>
      <c r="C28">
        <v>112</v>
      </c>
      <c r="D28" s="6">
        <v>42700</v>
      </c>
      <c r="E28" t="str">
        <f>VLOOKUP(B28,[1]pivottables!$F$2:$G$52,2,0)</f>
        <v>FRA</v>
      </c>
      <c r="F28">
        <v>3</v>
      </c>
      <c r="G28">
        <f>VLOOKUP(C28,[1]products!$B$2:$E$27,4,0)</f>
        <v>106.3</v>
      </c>
      <c r="H28">
        <f t="shared" si="0"/>
        <v>318.89999999999998</v>
      </c>
    </row>
    <row r="29" spans="1:8" x14ac:dyDescent="0.3">
      <c r="A29">
        <v>28</v>
      </c>
      <c r="B29">
        <v>25</v>
      </c>
      <c r="C29">
        <v>100</v>
      </c>
      <c r="D29" s="6">
        <v>42134</v>
      </c>
      <c r="E29" t="str">
        <f>VLOOKUP(B29,[1]pivottables!$F$2:$G$52,2,0)</f>
        <v>CHN</v>
      </c>
      <c r="F29">
        <v>1</v>
      </c>
      <c r="G29">
        <f>VLOOKUP(C29,[1]products!$B$2:$E$27,4,0)</f>
        <v>30.29</v>
      </c>
      <c r="H29">
        <f t="shared" si="0"/>
        <v>30.29</v>
      </c>
    </row>
    <row r="30" spans="1:8" x14ac:dyDescent="0.3">
      <c r="A30">
        <v>29</v>
      </c>
      <c r="B30">
        <v>26</v>
      </c>
      <c r="C30">
        <v>108</v>
      </c>
      <c r="D30" s="6">
        <v>42325</v>
      </c>
      <c r="E30" t="str">
        <f>VLOOKUP(B30,[1]pivottables!$F$2:$G$52,2,0)</f>
        <v>NLD</v>
      </c>
      <c r="F30">
        <v>1</v>
      </c>
      <c r="G30">
        <f>VLOOKUP(C30,[1]products!$B$2:$E$27,4,0)</f>
        <v>137.97999999999999</v>
      </c>
      <c r="H30">
        <f t="shared" si="0"/>
        <v>137.97999999999999</v>
      </c>
    </row>
    <row r="31" spans="1:8" x14ac:dyDescent="0.3">
      <c r="A31">
        <v>30</v>
      </c>
      <c r="B31">
        <v>24</v>
      </c>
      <c r="C31">
        <v>120</v>
      </c>
      <c r="D31" s="6">
        <v>42586</v>
      </c>
      <c r="E31" t="str">
        <f>VLOOKUP(B31,[1]pivottables!$F$2:$G$52,2,0)</f>
        <v>NLD</v>
      </c>
      <c r="F31">
        <v>2</v>
      </c>
      <c r="G31">
        <f>VLOOKUP(C31,[1]products!$B$2:$E$27,4,0)</f>
        <v>17.13</v>
      </c>
      <c r="H31">
        <f t="shared" si="0"/>
        <v>34.26</v>
      </c>
    </row>
    <row r="32" spans="1:8" x14ac:dyDescent="0.3">
      <c r="A32">
        <v>31</v>
      </c>
      <c r="B32">
        <v>26</v>
      </c>
      <c r="C32">
        <v>106</v>
      </c>
      <c r="D32" s="6">
        <v>42860</v>
      </c>
      <c r="E32" t="str">
        <f>VLOOKUP(B32,[1]pivottables!$F$2:$G$52,2,0)</f>
        <v>NLD</v>
      </c>
      <c r="F32">
        <v>4</v>
      </c>
      <c r="G32">
        <f>VLOOKUP(C32,[1]products!$B$2:$E$27,4,0)</f>
        <v>132.88</v>
      </c>
      <c r="H32">
        <f t="shared" si="0"/>
        <v>531.52</v>
      </c>
    </row>
    <row r="33" spans="1:8" x14ac:dyDescent="0.3">
      <c r="A33">
        <v>32</v>
      </c>
      <c r="B33">
        <v>6</v>
      </c>
      <c r="C33">
        <v>107</v>
      </c>
      <c r="D33" s="6">
        <v>42860</v>
      </c>
      <c r="E33" t="str">
        <f>VLOOKUP(B33,[1]pivottables!$F$2:$G$52,2,0)</f>
        <v>CAN</v>
      </c>
      <c r="F33">
        <v>4</v>
      </c>
      <c r="G33">
        <f>VLOOKUP(C33,[1]products!$B$2:$E$27,4,0)</f>
        <v>43.1</v>
      </c>
      <c r="H33">
        <f t="shared" si="0"/>
        <v>172.4</v>
      </c>
    </row>
    <row r="34" spans="1:8" x14ac:dyDescent="0.3">
      <c r="A34">
        <v>33</v>
      </c>
      <c r="B34">
        <v>19</v>
      </c>
      <c r="C34">
        <v>102</v>
      </c>
      <c r="D34" s="6">
        <v>42761</v>
      </c>
      <c r="E34" t="str">
        <f>VLOOKUP(B34,[1]pivottables!$F$2:$G$52,2,0)</f>
        <v>NLD</v>
      </c>
      <c r="F34">
        <v>1</v>
      </c>
      <c r="G34">
        <f>VLOOKUP(C34,[1]products!$B$2:$E$27,4,0)</f>
        <v>14.94</v>
      </c>
      <c r="H34">
        <f t="shared" si="0"/>
        <v>14.94</v>
      </c>
    </row>
    <row r="35" spans="1:8" x14ac:dyDescent="0.3">
      <c r="A35">
        <v>34</v>
      </c>
      <c r="B35">
        <v>39</v>
      </c>
      <c r="C35">
        <v>102</v>
      </c>
      <c r="D35" s="6">
        <v>42086</v>
      </c>
      <c r="E35" t="str">
        <f>VLOOKUP(B35,[1]pivottables!$F$2:$G$52,2,0)</f>
        <v>GBR</v>
      </c>
      <c r="F35">
        <v>3</v>
      </c>
      <c r="G35">
        <f>VLOOKUP(C35,[1]products!$B$2:$E$27,4,0)</f>
        <v>14.94</v>
      </c>
      <c r="H35">
        <f t="shared" si="0"/>
        <v>44.82</v>
      </c>
    </row>
    <row r="36" spans="1:8" x14ac:dyDescent="0.3">
      <c r="A36">
        <v>35</v>
      </c>
      <c r="B36">
        <v>37</v>
      </c>
      <c r="C36">
        <v>123</v>
      </c>
      <c r="D36" s="6">
        <v>42226</v>
      </c>
      <c r="E36" t="str">
        <f>VLOOKUP(B36,[1]pivottables!$F$2:$G$52,2,0)</f>
        <v>GBR</v>
      </c>
      <c r="F36">
        <v>2</v>
      </c>
      <c r="G36">
        <f>VLOOKUP(C36,[1]products!$B$2:$E$27,4,0)</f>
        <v>39.67</v>
      </c>
      <c r="H36">
        <f t="shared" si="0"/>
        <v>79.34</v>
      </c>
    </row>
    <row r="37" spans="1:8" x14ac:dyDescent="0.3">
      <c r="A37">
        <v>36</v>
      </c>
      <c r="B37">
        <v>40</v>
      </c>
      <c r="C37">
        <v>102</v>
      </c>
      <c r="D37" s="6">
        <v>42972</v>
      </c>
      <c r="E37" t="str">
        <f>VLOOKUP(B37,[1]pivottables!$F$2:$G$52,2,0)</f>
        <v>JPN</v>
      </c>
      <c r="F37">
        <v>2</v>
      </c>
      <c r="G37">
        <f>VLOOKUP(C37,[1]products!$B$2:$E$27,4,0)</f>
        <v>14.94</v>
      </c>
      <c r="H37">
        <f t="shared" si="0"/>
        <v>29.88</v>
      </c>
    </row>
    <row r="38" spans="1:8" x14ac:dyDescent="0.3">
      <c r="A38">
        <v>37</v>
      </c>
      <c r="B38">
        <v>10</v>
      </c>
      <c r="C38">
        <v>111</v>
      </c>
      <c r="D38" s="6">
        <v>42300</v>
      </c>
      <c r="E38" t="str">
        <f>VLOOKUP(B38,[1]pivottables!$F$2:$G$52,2,0)</f>
        <v>NLD</v>
      </c>
      <c r="F38">
        <v>1</v>
      </c>
      <c r="G38">
        <f>VLOOKUP(C38,[1]products!$B$2:$E$27,4,0)</f>
        <v>149.93</v>
      </c>
      <c r="H38">
        <f t="shared" si="0"/>
        <v>149.93</v>
      </c>
    </row>
    <row r="39" spans="1:8" x14ac:dyDescent="0.3">
      <c r="A39">
        <v>38</v>
      </c>
      <c r="B39">
        <v>30</v>
      </c>
      <c r="C39">
        <v>117</v>
      </c>
      <c r="D39" s="6">
        <v>42212</v>
      </c>
      <c r="E39" t="str">
        <f>VLOOKUP(B39,[1]pivottables!$F$2:$G$52,2,0)</f>
        <v>FRA</v>
      </c>
      <c r="F39">
        <v>3</v>
      </c>
      <c r="G39">
        <f>VLOOKUP(C39,[1]products!$B$2:$E$27,4,0)</f>
        <v>47.38</v>
      </c>
      <c r="H39">
        <f t="shared" si="0"/>
        <v>142.14000000000001</v>
      </c>
    </row>
    <row r="40" spans="1:8" x14ac:dyDescent="0.3">
      <c r="A40">
        <v>39</v>
      </c>
      <c r="B40">
        <v>11</v>
      </c>
      <c r="C40">
        <v>114</v>
      </c>
      <c r="D40" s="6">
        <v>43026</v>
      </c>
      <c r="E40" t="str">
        <f>VLOOKUP(B40,[1]pivottables!$F$2:$G$52,2,0)</f>
        <v>ITA</v>
      </c>
      <c r="F40">
        <v>3</v>
      </c>
      <c r="G40">
        <f>VLOOKUP(C40,[1]products!$B$2:$E$27,4,0)</f>
        <v>74.38</v>
      </c>
      <c r="H40">
        <f t="shared" si="0"/>
        <v>223.14</v>
      </c>
    </row>
    <row r="41" spans="1:8" x14ac:dyDescent="0.3">
      <c r="A41">
        <v>40</v>
      </c>
      <c r="B41">
        <v>41</v>
      </c>
      <c r="C41">
        <v>102</v>
      </c>
      <c r="D41" s="6">
        <v>42206</v>
      </c>
      <c r="E41" t="str">
        <f>VLOOKUP(B41,[1]pivottables!$F$2:$G$52,2,0)</f>
        <v>FRA</v>
      </c>
      <c r="F41">
        <v>1</v>
      </c>
      <c r="G41">
        <f>VLOOKUP(C41,[1]products!$B$2:$E$27,4,0)</f>
        <v>14.94</v>
      </c>
      <c r="H41">
        <f t="shared" si="0"/>
        <v>14.94</v>
      </c>
    </row>
    <row r="42" spans="1:8" x14ac:dyDescent="0.3">
      <c r="A42">
        <v>41</v>
      </c>
      <c r="B42">
        <v>36</v>
      </c>
      <c r="C42">
        <v>100</v>
      </c>
      <c r="D42" s="6">
        <v>42407</v>
      </c>
      <c r="E42" t="str">
        <f>VLOOKUP(B42,[1]pivottables!$F$2:$G$52,2,0)</f>
        <v>FRA</v>
      </c>
      <c r="F42">
        <v>1</v>
      </c>
      <c r="G42">
        <f>VLOOKUP(C42,[1]products!$B$2:$E$27,4,0)</f>
        <v>30.29</v>
      </c>
      <c r="H42">
        <f t="shared" si="0"/>
        <v>30.29</v>
      </c>
    </row>
    <row r="43" spans="1:8" x14ac:dyDescent="0.3">
      <c r="A43">
        <v>42</v>
      </c>
      <c r="B43">
        <v>2</v>
      </c>
      <c r="C43">
        <v>123</v>
      </c>
      <c r="D43" s="6">
        <v>42112</v>
      </c>
      <c r="E43" t="str">
        <f>VLOOKUP(B43,[1]pivottables!$F$2:$G$52,2,0)</f>
        <v>CZE</v>
      </c>
      <c r="F43">
        <v>1</v>
      </c>
      <c r="G43">
        <f>VLOOKUP(C43,[1]products!$B$2:$E$27,4,0)</f>
        <v>39.67</v>
      </c>
      <c r="H43">
        <f t="shared" si="0"/>
        <v>39.67</v>
      </c>
    </row>
    <row r="44" spans="1:8" x14ac:dyDescent="0.3">
      <c r="A44">
        <v>43</v>
      </c>
      <c r="B44">
        <v>42</v>
      </c>
      <c r="C44">
        <v>113</v>
      </c>
      <c r="D44" s="6">
        <v>42251</v>
      </c>
      <c r="E44" t="str">
        <f>VLOOKUP(B44,[1]pivottables!$F$2:$G$52,2,0)</f>
        <v>HUN</v>
      </c>
      <c r="F44">
        <v>5</v>
      </c>
      <c r="G44">
        <f>VLOOKUP(C44,[1]products!$B$2:$E$27,4,0)</f>
        <v>9.89</v>
      </c>
      <c r="H44">
        <f t="shared" si="0"/>
        <v>49.45</v>
      </c>
    </row>
    <row r="45" spans="1:8" x14ac:dyDescent="0.3">
      <c r="A45">
        <v>44</v>
      </c>
      <c r="B45">
        <v>27</v>
      </c>
      <c r="C45">
        <v>103</v>
      </c>
      <c r="D45" s="6">
        <v>42693</v>
      </c>
      <c r="E45" t="str">
        <f>VLOOKUP(B45,[1]pivottables!$F$2:$G$52,2,0)</f>
        <v>ITA</v>
      </c>
      <c r="F45">
        <v>2</v>
      </c>
      <c r="G45">
        <f>VLOOKUP(C45,[1]products!$B$2:$E$27,4,0)</f>
        <v>108.96</v>
      </c>
      <c r="H45">
        <f t="shared" si="0"/>
        <v>217.92</v>
      </c>
    </row>
    <row r="46" spans="1:8" x14ac:dyDescent="0.3">
      <c r="A46">
        <v>45</v>
      </c>
      <c r="B46">
        <v>45</v>
      </c>
      <c r="C46">
        <v>124</v>
      </c>
      <c r="D46" s="6">
        <v>42117</v>
      </c>
      <c r="E46" t="str">
        <f>VLOOKUP(B46,[1]pivottables!$F$2:$G$52,2,0)</f>
        <v>NLD</v>
      </c>
      <c r="F46">
        <v>1</v>
      </c>
      <c r="G46">
        <f>VLOOKUP(C46,[1]products!$B$2:$E$27,4,0)</f>
        <v>108.54</v>
      </c>
      <c r="H46">
        <f t="shared" si="0"/>
        <v>108.54</v>
      </c>
    </row>
    <row r="47" spans="1:8" x14ac:dyDescent="0.3">
      <c r="A47">
        <v>46</v>
      </c>
      <c r="B47">
        <v>1</v>
      </c>
      <c r="C47">
        <v>106</v>
      </c>
      <c r="D47" s="6">
        <v>42533</v>
      </c>
      <c r="E47" t="str">
        <f>VLOOKUP(B47,[1]pivottables!$F$2:$G$52,2,0)</f>
        <v>FRA</v>
      </c>
      <c r="F47">
        <v>2</v>
      </c>
      <c r="G47">
        <f>VLOOKUP(C47,[1]products!$B$2:$E$27,4,0)</f>
        <v>132.88</v>
      </c>
      <c r="H47">
        <f t="shared" si="0"/>
        <v>265.76</v>
      </c>
    </row>
    <row r="48" spans="1:8" x14ac:dyDescent="0.3">
      <c r="A48">
        <v>47</v>
      </c>
      <c r="B48">
        <v>6</v>
      </c>
      <c r="C48">
        <v>109</v>
      </c>
      <c r="D48" s="6">
        <v>42193</v>
      </c>
      <c r="E48" t="str">
        <f>VLOOKUP(B48,[1]pivottables!$F$2:$G$52,2,0)</f>
        <v>CAN</v>
      </c>
      <c r="F48">
        <v>4</v>
      </c>
      <c r="G48">
        <f>VLOOKUP(C48,[1]products!$B$2:$E$27,4,0)</f>
        <v>143.97999999999999</v>
      </c>
      <c r="H48">
        <f t="shared" si="0"/>
        <v>575.91999999999996</v>
      </c>
    </row>
    <row r="49" spans="1:8" x14ac:dyDescent="0.3">
      <c r="A49">
        <v>48</v>
      </c>
      <c r="B49">
        <v>12</v>
      </c>
      <c r="C49">
        <v>116</v>
      </c>
      <c r="D49" s="6">
        <v>43048</v>
      </c>
      <c r="E49" t="str">
        <f>VLOOKUP(B49,[1]pivottables!$F$2:$G$52,2,0)</f>
        <v>FRA</v>
      </c>
      <c r="F49">
        <v>1</v>
      </c>
      <c r="G49">
        <f>VLOOKUP(C49,[1]products!$B$2:$E$27,4,0)</f>
        <v>137.19999999999999</v>
      </c>
      <c r="H49">
        <f t="shared" si="0"/>
        <v>137.19999999999999</v>
      </c>
    </row>
    <row r="50" spans="1:8" x14ac:dyDescent="0.3">
      <c r="A50">
        <v>49</v>
      </c>
      <c r="B50">
        <v>3</v>
      </c>
      <c r="C50">
        <v>107</v>
      </c>
      <c r="D50" s="6">
        <v>43056</v>
      </c>
      <c r="E50" t="str">
        <f>VLOOKUP(B50,[1]pivottables!$F$2:$G$52,2,0)</f>
        <v>NLD</v>
      </c>
      <c r="F50">
        <v>1</v>
      </c>
      <c r="G50">
        <f>VLOOKUP(C50,[1]products!$B$2:$E$27,4,0)</f>
        <v>43.1</v>
      </c>
      <c r="H50">
        <f t="shared" si="0"/>
        <v>43.1</v>
      </c>
    </row>
    <row r="51" spans="1:8" x14ac:dyDescent="0.3">
      <c r="A51">
        <v>50</v>
      </c>
      <c r="B51">
        <v>6</v>
      </c>
      <c r="C51">
        <v>118</v>
      </c>
      <c r="D51" s="6">
        <v>42101</v>
      </c>
      <c r="E51" t="str">
        <f>VLOOKUP(B51,[1]pivottables!$F$2:$G$52,2,0)</f>
        <v>CAN</v>
      </c>
      <c r="F51">
        <v>1</v>
      </c>
      <c r="G51">
        <f>VLOOKUP(C51,[1]products!$B$2:$E$27,4,0)</f>
        <v>56.48</v>
      </c>
      <c r="H51">
        <f t="shared" si="0"/>
        <v>56.48</v>
      </c>
    </row>
    <row r="52" spans="1:8" x14ac:dyDescent="0.3">
      <c r="A52">
        <v>51</v>
      </c>
      <c r="B52">
        <v>39</v>
      </c>
      <c r="C52">
        <v>108</v>
      </c>
      <c r="D52" s="6">
        <v>43007</v>
      </c>
      <c r="E52" t="str">
        <f>VLOOKUP(B52,[1]pivottables!$F$2:$G$52,2,0)</f>
        <v>GBR</v>
      </c>
      <c r="F52">
        <v>2</v>
      </c>
      <c r="G52">
        <f>VLOOKUP(C52,[1]products!$B$2:$E$27,4,0)</f>
        <v>137.97999999999999</v>
      </c>
      <c r="H52">
        <f t="shared" si="0"/>
        <v>275.95999999999998</v>
      </c>
    </row>
    <row r="53" spans="1:8" x14ac:dyDescent="0.3">
      <c r="A53">
        <v>52</v>
      </c>
      <c r="B53">
        <v>10</v>
      </c>
      <c r="C53">
        <v>123</v>
      </c>
      <c r="D53" s="6">
        <v>42661</v>
      </c>
      <c r="E53" t="str">
        <f>VLOOKUP(B53,[1]pivottables!$F$2:$G$52,2,0)</f>
        <v>NLD</v>
      </c>
      <c r="F53">
        <v>5</v>
      </c>
      <c r="G53">
        <f>VLOOKUP(C53,[1]products!$B$2:$E$27,4,0)</f>
        <v>39.67</v>
      </c>
      <c r="H53">
        <f t="shared" si="0"/>
        <v>198.35000000000002</v>
      </c>
    </row>
    <row r="54" spans="1:8" x14ac:dyDescent="0.3">
      <c r="A54">
        <v>53</v>
      </c>
      <c r="B54">
        <v>37</v>
      </c>
      <c r="C54">
        <v>117</v>
      </c>
      <c r="D54" s="6">
        <v>42581</v>
      </c>
      <c r="E54" t="str">
        <f>VLOOKUP(B54,[1]pivottables!$F$2:$G$52,2,0)</f>
        <v>GBR</v>
      </c>
      <c r="F54">
        <v>1</v>
      </c>
      <c r="G54">
        <f>VLOOKUP(C54,[1]products!$B$2:$E$27,4,0)</f>
        <v>47.38</v>
      </c>
      <c r="H54">
        <f t="shared" si="0"/>
        <v>47.38</v>
      </c>
    </row>
    <row r="55" spans="1:8" x14ac:dyDescent="0.3">
      <c r="A55">
        <v>54</v>
      </c>
      <c r="B55">
        <v>10</v>
      </c>
      <c r="C55">
        <v>125</v>
      </c>
      <c r="D55" s="6">
        <v>42360</v>
      </c>
      <c r="E55" t="str">
        <f>VLOOKUP(B55,[1]pivottables!$F$2:$G$52,2,0)</f>
        <v>NLD</v>
      </c>
      <c r="F55">
        <v>4</v>
      </c>
      <c r="G55">
        <f>VLOOKUP(C55,[1]products!$B$2:$E$27,4,0)</f>
        <v>90.44</v>
      </c>
      <c r="H55">
        <f t="shared" si="0"/>
        <v>361.76</v>
      </c>
    </row>
    <row r="56" spans="1:8" x14ac:dyDescent="0.3">
      <c r="A56">
        <v>55</v>
      </c>
      <c r="B56">
        <v>9</v>
      </c>
      <c r="C56">
        <v>105</v>
      </c>
      <c r="D56" s="6">
        <v>42264</v>
      </c>
      <c r="E56" t="str">
        <f>VLOOKUP(B56,[1]pivottables!$F$2:$G$52,2,0)</f>
        <v>HUN</v>
      </c>
      <c r="F56">
        <v>3</v>
      </c>
      <c r="G56">
        <f>VLOOKUP(C56,[1]products!$B$2:$E$27,4,0)</f>
        <v>149.93</v>
      </c>
      <c r="H56">
        <f t="shared" si="0"/>
        <v>449.79</v>
      </c>
    </row>
    <row r="57" spans="1:8" x14ac:dyDescent="0.3">
      <c r="A57">
        <v>56</v>
      </c>
      <c r="B57">
        <v>32</v>
      </c>
      <c r="C57">
        <v>121</v>
      </c>
      <c r="D57" s="6">
        <v>42655</v>
      </c>
      <c r="E57" t="str">
        <f>VLOOKUP(B57,[1]pivottables!$F$2:$G$52,2,0)</f>
        <v>NLD</v>
      </c>
      <c r="F57">
        <v>5</v>
      </c>
      <c r="G57">
        <f>VLOOKUP(C57,[1]products!$B$2:$E$27,4,0)</f>
        <v>49.09</v>
      </c>
      <c r="H57">
        <f t="shared" si="0"/>
        <v>245.45000000000002</v>
      </c>
    </row>
    <row r="58" spans="1:8" x14ac:dyDescent="0.3">
      <c r="A58">
        <v>57</v>
      </c>
      <c r="B58">
        <v>6</v>
      </c>
      <c r="C58">
        <v>101</v>
      </c>
      <c r="D58" s="6">
        <v>42417</v>
      </c>
      <c r="E58" t="str">
        <f>VLOOKUP(B58,[1]pivottables!$F$2:$G$52,2,0)</f>
        <v>CAN</v>
      </c>
      <c r="F58">
        <v>4</v>
      </c>
      <c r="G58">
        <f>VLOOKUP(C58,[1]products!$B$2:$E$27,4,0)</f>
        <v>108.61</v>
      </c>
      <c r="H58">
        <f t="shared" si="0"/>
        <v>434.44</v>
      </c>
    </row>
    <row r="59" spans="1:8" x14ac:dyDescent="0.3">
      <c r="A59">
        <v>58</v>
      </c>
      <c r="B59">
        <v>12</v>
      </c>
      <c r="C59">
        <v>105</v>
      </c>
      <c r="D59" s="6">
        <v>42109</v>
      </c>
      <c r="E59" t="str">
        <f>VLOOKUP(B59,[1]pivottables!$F$2:$G$52,2,0)</f>
        <v>FRA</v>
      </c>
      <c r="F59">
        <v>3</v>
      </c>
      <c r="G59">
        <f>VLOOKUP(C59,[1]products!$B$2:$E$27,4,0)</f>
        <v>149.93</v>
      </c>
      <c r="H59">
        <f t="shared" si="0"/>
        <v>449.79</v>
      </c>
    </row>
    <row r="60" spans="1:8" x14ac:dyDescent="0.3">
      <c r="A60">
        <v>59</v>
      </c>
      <c r="B60">
        <v>39</v>
      </c>
      <c r="C60">
        <v>123</v>
      </c>
      <c r="D60" s="6">
        <v>42484</v>
      </c>
      <c r="E60" t="str">
        <f>VLOOKUP(B60,[1]pivottables!$F$2:$G$52,2,0)</f>
        <v>GBR</v>
      </c>
      <c r="F60">
        <v>2</v>
      </c>
      <c r="G60">
        <f>VLOOKUP(C60,[1]products!$B$2:$E$27,4,0)</f>
        <v>39.67</v>
      </c>
      <c r="H60">
        <f t="shared" si="0"/>
        <v>79.34</v>
      </c>
    </row>
    <row r="61" spans="1:8" x14ac:dyDescent="0.3">
      <c r="A61">
        <v>60</v>
      </c>
      <c r="B61">
        <v>31</v>
      </c>
      <c r="C61">
        <v>112</v>
      </c>
      <c r="D61" s="6">
        <v>42839</v>
      </c>
      <c r="E61" t="str">
        <f>VLOOKUP(B61,[1]pivottables!$F$2:$G$52,2,0)</f>
        <v>GBR</v>
      </c>
      <c r="F61">
        <v>3</v>
      </c>
      <c r="G61">
        <f>VLOOKUP(C61,[1]products!$B$2:$E$27,4,0)</f>
        <v>106.3</v>
      </c>
      <c r="H61">
        <f t="shared" si="0"/>
        <v>318.89999999999998</v>
      </c>
    </row>
    <row r="62" spans="1:8" x14ac:dyDescent="0.3">
      <c r="A62">
        <v>61</v>
      </c>
      <c r="B62">
        <v>23</v>
      </c>
      <c r="C62">
        <v>116</v>
      </c>
      <c r="D62" s="6">
        <v>42427</v>
      </c>
      <c r="E62" t="str">
        <f>VLOOKUP(B62,[1]pivottables!$F$2:$G$52,2,0)</f>
        <v>GBR</v>
      </c>
      <c r="F62">
        <v>5</v>
      </c>
      <c r="G62">
        <f>VLOOKUP(C62,[1]products!$B$2:$E$27,4,0)</f>
        <v>137.19999999999999</v>
      </c>
      <c r="H62">
        <f t="shared" si="0"/>
        <v>686</v>
      </c>
    </row>
    <row r="63" spans="1:8" x14ac:dyDescent="0.3">
      <c r="A63">
        <v>62</v>
      </c>
      <c r="B63">
        <v>31</v>
      </c>
      <c r="C63">
        <v>125</v>
      </c>
      <c r="D63" s="6">
        <v>42249</v>
      </c>
      <c r="E63" t="str">
        <f>VLOOKUP(B63,[1]pivottables!$F$2:$G$52,2,0)</f>
        <v>GBR</v>
      </c>
      <c r="F63">
        <v>3</v>
      </c>
      <c r="G63">
        <f>VLOOKUP(C63,[1]products!$B$2:$E$27,4,0)</f>
        <v>90.44</v>
      </c>
      <c r="H63">
        <f t="shared" si="0"/>
        <v>271.32</v>
      </c>
    </row>
    <row r="64" spans="1:8" x14ac:dyDescent="0.3">
      <c r="A64">
        <v>63</v>
      </c>
      <c r="B64">
        <v>45</v>
      </c>
      <c r="C64">
        <v>115</v>
      </c>
      <c r="D64" s="6">
        <v>42572</v>
      </c>
      <c r="E64" t="str">
        <f>VLOOKUP(B64,[1]pivottables!$F$2:$G$52,2,0)</f>
        <v>NLD</v>
      </c>
      <c r="F64">
        <v>2</v>
      </c>
      <c r="G64">
        <f>VLOOKUP(C64,[1]products!$B$2:$E$27,4,0)</f>
        <v>22.55</v>
      </c>
      <c r="H64">
        <f t="shared" si="0"/>
        <v>45.1</v>
      </c>
    </row>
    <row r="65" spans="1:8" x14ac:dyDescent="0.3">
      <c r="A65">
        <v>64</v>
      </c>
      <c r="B65">
        <v>27</v>
      </c>
      <c r="C65">
        <v>125</v>
      </c>
      <c r="D65" s="6">
        <v>42323</v>
      </c>
      <c r="E65" t="str">
        <f>VLOOKUP(B65,[1]pivottables!$F$2:$G$52,2,0)</f>
        <v>ITA</v>
      </c>
      <c r="F65">
        <v>5</v>
      </c>
      <c r="G65">
        <f>VLOOKUP(C65,[1]products!$B$2:$E$27,4,0)</f>
        <v>90.44</v>
      </c>
      <c r="H65">
        <f t="shared" si="0"/>
        <v>452.2</v>
      </c>
    </row>
    <row r="66" spans="1:8" x14ac:dyDescent="0.3">
      <c r="A66">
        <v>65</v>
      </c>
      <c r="B66">
        <v>33</v>
      </c>
      <c r="C66">
        <v>110</v>
      </c>
      <c r="D66" s="6">
        <v>43011</v>
      </c>
      <c r="E66" t="str">
        <f>VLOOKUP(B66,[1]pivottables!$F$2:$G$52,2,0)</f>
        <v>NLD</v>
      </c>
      <c r="F66">
        <v>2</v>
      </c>
      <c r="G66">
        <f>VLOOKUP(C66,[1]products!$B$2:$E$27,4,0)</f>
        <v>10.76</v>
      </c>
      <c r="H66">
        <f t="shared" si="0"/>
        <v>21.52</v>
      </c>
    </row>
    <row r="67" spans="1:8" x14ac:dyDescent="0.3">
      <c r="A67">
        <v>66</v>
      </c>
      <c r="B67">
        <v>11</v>
      </c>
      <c r="C67">
        <v>118</v>
      </c>
      <c r="D67" s="6">
        <v>42926</v>
      </c>
      <c r="E67" t="str">
        <f>VLOOKUP(B67,[1]pivottables!$F$2:$G$52,2,0)</f>
        <v>ITA</v>
      </c>
      <c r="F67">
        <v>1</v>
      </c>
      <c r="G67">
        <f>VLOOKUP(C67,[1]products!$B$2:$E$27,4,0)</f>
        <v>56.48</v>
      </c>
      <c r="H67">
        <f t="shared" ref="H67:H130" si="1">G67*F67</f>
        <v>56.48</v>
      </c>
    </row>
    <row r="68" spans="1:8" x14ac:dyDescent="0.3">
      <c r="A68">
        <v>67</v>
      </c>
      <c r="B68">
        <v>14</v>
      </c>
      <c r="C68">
        <v>104</v>
      </c>
      <c r="D68" s="6">
        <v>42521</v>
      </c>
      <c r="E68" t="str">
        <f>VLOOKUP(B68,[1]pivottables!$F$2:$G$52,2,0)</f>
        <v>CZE</v>
      </c>
      <c r="F68">
        <v>5</v>
      </c>
      <c r="G68">
        <f>VLOOKUP(C68,[1]products!$B$2:$E$27,4,0)</f>
        <v>122.18</v>
      </c>
      <c r="H68">
        <f t="shared" si="1"/>
        <v>610.90000000000009</v>
      </c>
    </row>
    <row r="69" spans="1:8" x14ac:dyDescent="0.3">
      <c r="A69">
        <v>68</v>
      </c>
      <c r="B69">
        <v>48</v>
      </c>
      <c r="C69">
        <v>107</v>
      </c>
      <c r="D69" s="6">
        <v>42135</v>
      </c>
      <c r="E69" t="str">
        <f>VLOOKUP(B69,[1]pivottables!$F$2:$G$52,2,0)</f>
        <v>GBR</v>
      </c>
      <c r="F69">
        <v>3</v>
      </c>
      <c r="G69">
        <f>VLOOKUP(C69,[1]products!$B$2:$E$27,4,0)</f>
        <v>43.1</v>
      </c>
      <c r="H69">
        <f t="shared" si="1"/>
        <v>129.30000000000001</v>
      </c>
    </row>
    <row r="70" spans="1:8" x14ac:dyDescent="0.3">
      <c r="A70">
        <v>69</v>
      </c>
      <c r="B70">
        <v>21</v>
      </c>
      <c r="C70">
        <v>112</v>
      </c>
      <c r="D70" s="6">
        <v>42712</v>
      </c>
      <c r="E70" t="str">
        <f>VLOOKUP(B70,[1]pivottables!$F$2:$G$52,2,0)</f>
        <v>HUN</v>
      </c>
      <c r="F70">
        <v>4</v>
      </c>
      <c r="G70">
        <f>VLOOKUP(C70,[1]products!$B$2:$E$27,4,0)</f>
        <v>106.3</v>
      </c>
      <c r="H70">
        <f t="shared" si="1"/>
        <v>425.2</v>
      </c>
    </row>
    <row r="71" spans="1:8" x14ac:dyDescent="0.3">
      <c r="A71">
        <v>70</v>
      </c>
      <c r="B71">
        <v>30</v>
      </c>
      <c r="C71">
        <v>105</v>
      </c>
      <c r="D71" s="6">
        <v>42100</v>
      </c>
      <c r="E71" t="str">
        <f>VLOOKUP(B71,[1]pivottables!$F$2:$G$52,2,0)</f>
        <v>FRA</v>
      </c>
      <c r="F71">
        <v>4</v>
      </c>
      <c r="G71">
        <f>VLOOKUP(C71,[1]products!$B$2:$E$27,4,0)</f>
        <v>149.93</v>
      </c>
      <c r="H71">
        <f t="shared" si="1"/>
        <v>599.72</v>
      </c>
    </row>
    <row r="72" spans="1:8" x14ac:dyDescent="0.3">
      <c r="A72">
        <v>71</v>
      </c>
      <c r="B72">
        <v>38</v>
      </c>
      <c r="C72">
        <v>108</v>
      </c>
      <c r="D72" s="6">
        <v>42762</v>
      </c>
      <c r="E72" t="str">
        <f>VLOOKUP(B72,[1]pivottables!$F$2:$G$52,2,0)</f>
        <v>USA</v>
      </c>
      <c r="F72">
        <v>1</v>
      </c>
      <c r="G72">
        <f>VLOOKUP(C72,[1]products!$B$2:$E$27,4,0)</f>
        <v>137.97999999999999</v>
      </c>
      <c r="H72">
        <f t="shared" si="1"/>
        <v>137.97999999999999</v>
      </c>
    </row>
    <row r="73" spans="1:8" x14ac:dyDescent="0.3">
      <c r="A73">
        <v>72</v>
      </c>
      <c r="B73">
        <v>9</v>
      </c>
      <c r="C73">
        <v>109</v>
      </c>
      <c r="D73" s="6">
        <v>43030</v>
      </c>
      <c r="E73" t="str">
        <f>VLOOKUP(B73,[1]pivottables!$F$2:$G$52,2,0)</f>
        <v>HUN</v>
      </c>
      <c r="F73">
        <v>1</v>
      </c>
      <c r="G73">
        <f>VLOOKUP(C73,[1]products!$B$2:$E$27,4,0)</f>
        <v>143.97999999999999</v>
      </c>
      <c r="H73">
        <f t="shared" si="1"/>
        <v>143.97999999999999</v>
      </c>
    </row>
    <row r="74" spans="1:8" x14ac:dyDescent="0.3">
      <c r="A74">
        <v>73</v>
      </c>
      <c r="B74">
        <v>35</v>
      </c>
      <c r="C74">
        <v>113</v>
      </c>
      <c r="D74" s="6">
        <v>42221</v>
      </c>
      <c r="E74" t="str">
        <f>VLOOKUP(B74,[1]pivottables!$F$2:$G$52,2,0)</f>
        <v>JPN</v>
      </c>
      <c r="F74">
        <v>1</v>
      </c>
      <c r="G74">
        <f>VLOOKUP(C74,[1]products!$B$2:$E$27,4,0)</f>
        <v>9.89</v>
      </c>
      <c r="H74">
        <f t="shared" si="1"/>
        <v>9.89</v>
      </c>
    </row>
    <row r="75" spans="1:8" x14ac:dyDescent="0.3">
      <c r="A75">
        <v>74</v>
      </c>
      <c r="B75">
        <v>16</v>
      </c>
      <c r="C75">
        <v>114</v>
      </c>
      <c r="D75" s="6">
        <v>42036</v>
      </c>
      <c r="E75" t="str">
        <f>VLOOKUP(B75,[1]pivottables!$F$2:$G$52,2,0)</f>
        <v>JPN</v>
      </c>
      <c r="F75">
        <v>5</v>
      </c>
      <c r="G75">
        <f>VLOOKUP(C75,[1]products!$B$2:$E$27,4,0)</f>
        <v>74.38</v>
      </c>
      <c r="H75">
        <f t="shared" si="1"/>
        <v>371.9</v>
      </c>
    </row>
    <row r="76" spans="1:8" x14ac:dyDescent="0.3">
      <c r="A76">
        <v>75</v>
      </c>
      <c r="B76">
        <v>42</v>
      </c>
      <c r="C76">
        <v>106</v>
      </c>
      <c r="D76" s="6">
        <v>42881</v>
      </c>
      <c r="E76" t="str">
        <f>VLOOKUP(B76,[1]pivottables!$F$2:$G$52,2,0)</f>
        <v>HUN</v>
      </c>
      <c r="F76">
        <v>2</v>
      </c>
      <c r="G76">
        <f>VLOOKUP(C76,[1]products!$B$2:$E$27,4,0)</f>
        <v>132.88</v>
      </c>
      <c r="H76">
        <f t="shared" si="1"/>
        <v>265.76</v>
      </c>
    </row>
    <row r="77" spans="1:8" x14ac:dyDescent="0.3">
      <c r="A77">
        <v>76</v>
      </c>
      <c r="B77">
        <v>42</v>
      </c>
      <c r="C77">
        <v>119</v>
      </c>
      <c r="D77" s="6">
        <v>42972</v>
      </c>
      <c r="E77" t="str">
        <f>VLOOKUP(B77,[1]pivottables!$F$2:$G$52,2,0)</f>
        <v>HUN</v>
      </c>
      <c r="F77">
        <v>1</v>
      </c>
      <c r="G77">
        <f>VLOOKUP(C77,[1]products!$B$2:$E$27,4,0)</f>
        <v>74.55</v>
      </c>
      <c r="H77">
        <f t="shared" si="1"/>
        <v>74.55</v>
      </c>
    </row>
    <row r="78" spans="1:8" x14ac:dyDescent="0.3">
      <c r="A78">
        <v>77</v>
      </c>
      <c r="B78">
        <v>44</v>
      </c>
      <c r="C78">
        <v>123</v>
      </c>
      <c r="D78" s="6">
        <v>42799</v>
      </c>
      <c r="E78" t="str">
        <f>VLOOKUP(B78,[1]pivottables!$F$2:$G$52,2,0)</f>
        <v>CHN</v>
      </c>
      <c r="F78">
        <v>5</v>
      </c>
      <c r="G78">
        <f>VLOOKUP(C78,[1]products!$B$2:$E$27,4,0)</f>
        <v>39.67</v>
      </c>
      <c r="H78">
        <f t="shared" si="1"/>
        <v>198.35000000000002</v>
      </c>
    </row>
    <row r="79" spans="1:8" x14ac:dyDescent="0.3">
      <c r="A79">
        <v>78</v>
      </c>
      <c r="B79">
        <v>28</v>
      </c>
      <c r="C79">
        <v>120</v>
      </c>
      <c r="D79" s="6">
        <v>42370</v>
      </c>
      <c r="E79" t="str">
        <f>VLOOKUP(B79,[1]pivottables!$F$2:$G$52,2,0)</f>
        <v>FRA</v>
      </c>
      <c r="F79">
        <v>5</v>
      </c>
      <c r="G79">
        <f>VLOOKUP(C79,[1]products!$B$2:$E$27,4,0)</f>
        <v>17.13</v>
      </c>
      <c r="H79">
        <f t="shared" si="1"/>
        <v>85.649999999999991</v>
      </c>
    </row>
    <row r="80" spans="1:8" x14ac:dyDescent="0.3">
      <c r="A80">
        <v>79</v>
      </c>
      <c r="B80">
        <v>7</v>
      </c>
      <c r="C80">
        <v>117</v>
      </c>
      <c r="D80" s="6">
        <v>42623</v>
      </c>
      <c r="E80" t="str">
        <f>VLOOKUP(B80,[1]pivottables!$F$2:$G$52,2,0)</f>
        <v>CAN</v>
      </c>
      <c r="F80">
        <v>5</v>
      </c>
      <c r="G80">
        <f>VLOOKUP(C80,[1]products!$B$2:$E$27,4,0)</f>
        <v>47.38</v>
      </c>
      <c r="H80">
        <f t="shared" si="1"/>
        <v>236.9</v>
      </c>
    </row>
    <row r="81" spans="1:8" x14ac:dyDescent="0.3">
      <c r="A81">
        <v>80</v>
      </c>
      <c r="B81">
        <v>26</v>
      </c>
      <c r="C81">
        <v>121</v>
      </c>
      <c r="D81" s="6">
        <v>42590</v>
      </c>
      <c r="E81" t="str">
        <f>VLOOKUP(B81,[1]pivottables!$F$2:$G$52,2,0)</f>
        <v>NLD</v>
      </c>
      <c r="F81">
        <v>1</v>
      </c>
      <c r="G81">
        <f>VLOOKUP(C81,[1]products!$B$2:$E$27,4,0)</f>
        <v>49.09</v>
      </c>
      <c r="H81">
        <f t="shared" si="1"/>
        <v>49.09</v>
      </c>
    </row>
    <row r="82" spans="1:8" x14ac:dyDescent="0.3">
      <c r="A82">
        <v>81</v>
      </c>
      <c r="B82">
        <v>20</v>
      </c>
      <c r="C82">
        <v>108</v>
      </c>
      <c r="D82" s="6">
        <v>42548</v>
      </c>
      <c r="E82" t="str">
        <f>VLOOKUP(B82,[1]pivottables!$F$2:$G$52,2,0)</f>
        <v>FRA</v>
      </c>
      <c r="F82">
        <v>3</v>
      </c>
      <c r="G82">
        <f>VLOOKUP(C82,[1]products!$B$2:$E$27,4,0)</f>
        <v>137.97999999999999</v>
      </c>
      <c r="H82">
        <f t="shared" si="1"/>
        <v>413.93999999999994</v>
      </c>
    </row>
    <row r="83" spans="1:8" x14ac:dyDescent="0.3">
      <c r="A83">
        <v>82</v>
      </c>
      <c r="B83">
        <v>9</v>
      </c>
      <c r="C83">
        <v>109</v>
      </c>
      <c r="D83" s="6">
        <v>42250</v>
      </c>
      <c r="E83" t="str">
        <f>VLOOKUP(B83,[1]pivottables!$F$2:$G$52,2,0)</f>
        <v>HUN</v>
      </c>
      <c r="F83">
        <v>3</v>
      </c>
      <c r="G83">
        <f>VLOOKUP(C83,[1]products!$B$2:$E$27,4,0)</f>
        <v>143.97999999999999</v>
      </c>
      <c r="H83">
        <f t="shared" si="1"/>
        <v>431.93999999999994</v>
      </c>
    </row>
    <row r="84" spans="1:8" x14ac:dyDescent="0.3">
      <c r="A84">
        <v>83</v>
      </c>
      <c r="B84">
        <v>9</v>
      </c>
      <c r="C84">
        <v>120</v>
      </c>
      <c r="D84" s="6">
        <v>42063</v>
      </c>
      <c r="E84" t="str">
        <f>VLOOKUP(B84,[1]pivottables!$F$2:$G$52,2,0)</f>
        <v>HUN</v>
      </c>
      <c r="F84">
        <v>1</v>
      </c>
      <c r="G84">
        <f>VLOOKUP(C84,[1]products!$B$2:$E$27,4,0)</f>
        <v>17.13</v>
      </c>
      <c r="H84">
        <f t="shared" si="1"/>
        <v>17.13</v>
      </c>
    </row>
    <row r="85" spans="1:8" x14ac:dyDescent="0.3">
      <c r="A85">
        <v>84</v>
      </c>
      <c r="B85">
        <v>39</v>
      </c>
      <c r="C85">
        <v>124</v>
      </c>
      <c r="D85" s="6">
        <v>42996</v>
      </c>
      <c r="E85" t="str">
        <f>VLOOKUP(B85,[1]pivottables!$F$2:$G$52,2,0)</f>
        <v>GBR</v>
      </c>
      <c r="F85">
        <v>4</v>
      </c>
      <c r="G85">
        <f>VLOOKUP(C85,[1]products!$B$2:$E$27,4,0)</f>
        <v>108.54</v>
      </c>
      <c r="H85">
        <f t="shared" si="1"/>
        <v>434.16</v>
      </c>
    </row>
    <row r="86" spans="1:8" x14ac:dyDescent="0.3">
      <c r="A86">
        <v>85</v>
      </c>
      <c r="B86">
        <v>5</v>
      </c>
      <c r="C86">
        <v>102</v>
      </c>
      <c r="D86" s="6">
        <v>42304</v>
      </c>
      <c r="E86" t="str">
        <f>VLOOKUP(B86,[1]pivottables!$F$2:$G$52,2,0)</f>
        <v>USA</v>
      </c>
      <c r="F86">
        <v>3</v>
      </c>
      <c r="G86">
        <f>VLOOKUP(C86,[1]products!$B$2:$E$27,4,0)</f>
        <v>14.94</v>
      </c>
      <c r="H86">
        <f t="shared" si="1"/>
        <v>44.82</v>
      </c>
    </row>
    <row r="87" spans="1:8" x14ac:dyDescent="0.3">
      <c r="A87">
        <v>86</v>
      </c>
      <c r="B87">
        <v>24</v>
      </c>
      <c r="C87">
        <v>114</v>
      </c>
      <c r="D87" s="6">
        <v>42827</v>
      </c>
      <c r="E87" t="str">
        <f>VLOOKUP(B87,[1]pivottables!$F$2:$G$52,2,0)</f>
        <v>NLD</v>
      </c>
      <c r="F87">
        <v>1</v>
      </c>
      <c r="G87">
        <f>VLOOKUP(C87,[1]products!$B$2:$E$27,4,0)</f>
        <v>74.38</v>
      </c>
      <c r="H87">
        <f t="shared" si="1"/>
        <v>74.38</v>
      </c>
    </row>
    <row r="88" spans="1:8" x14ac:dyDescent="0.3">
      <c r="A88">
        <v>87</v>
      </c>
      <c r="B88">
        <v>10</v>
      </c>
      <c r="C88">
        <v>101</v>
      </c>
      <c r="D88" s="6">
        <v>42026</v>
      </c>
      <c r="E88" t="str">
        <f>VLOOKUP(B88,[1]pivottables!$F$2:$G$52,2,0)</f>
        <v>NLD</v>
      </c>
      <c r="F88">
        <v>4</v>
      </c>
      <c r="G88">
        <f>VLOOKUP(C88,[1]products!$B$2:$E$27,4,0)</f>
        <v>108.61</v>
      </c>
      <c r="H88">
        <f t="shared" si="1"/>
        <v>434.44</v>
      </c>
    </row>
    <row r="89" spans="1:8" x14ac:dyDescent="0.3">
      <c r="A89">
        <v>88</v>
      </c>
      <c r="B89">
        <v>44</v>
      </c>
      <c r="C89">
        <v>103</v>
      </c>
      <c r="D89" s="6">
        <v>42232</v>
      </c>
      <c r="E89" t="str">
        <f>VLOOKUP(B89,[1]pivottables!$F$2:$G$52,2,0)</f>
        <v>CHN</v>
      </c>
      <c r="F89">
        <v>5</v>
      </c>
      <c r="G89">
        <f>VLOOKUP(C89,[1]products!$B$2:$E$27,4,0)</f>
        <v>108.96</v>
      </c>
      <c r="H89">
        <f t="shared" si="1"/>
        <v>544.79999999999995</v>
      </c>
    </row>
    <row r="90" spans="1:8" x14ac:dyDescent="0.3">
      <c r="A90">
        <v>89</v>
      </c>
      <c r="B90">
        <v>10</v>
      </c>
      <c r="C90">
        <v>108</v>
      </c>
      <c r="D90" s="6">
        <v>42897</v>
      </c>
      <c r="E90" t="str">
        <f>VLOOKUP(B90,[1]pivottables!$F$2:$G$52,2,0)</f>
        <v>NLD</v>
      </c>
      <c r="F90">
        <v>4</v>
      </c>
      <c r="G90">
        <f>VLOOKUP(C90,[1]products!$B$2:$E$27,4,0)</f>
        <v>137.97999999999999</v>
      </c>
      <c r="H90">
        <f t="shared" si="1"/>
        <v>551.91999999999996</v>
      </c>
    </row>
    <row r="91" spans="1:8" x14ac:dyDescent="0.3">
      <c r="A91">
        <v>90</v>
      </c>
      <c r="B91">
        <v>20</v>
      </c>
      <c r="C91">
        <v>113</v>
      </c>
      <c r="D91" s="6">
        <v>43076</v>
      </c>
      <c r="E91" t="str">
        <f>VLOOKUP(B91,[1]pivottables!$F$2:$G$52,2,0)</f>
        <v>FRA</v>
      </c>
      <c r="F91">
        <v>1</v>
      </c>
      <c r="G91">
        <f>VLOOKUP(C91,[1]products!$B$2:$E$27,4,0)</f>
        <v>9.89</v>
      </c>
      <c r="H91">
        <f t="shared" si="1"/>
        <v>9.89</v>
      </c>
    </row>
    <row r="92" spans="1:8" x14ac:dyDescent="0.3">
      <c r="A92">
        <v>91</v>
      </c>
      <c r="B92">
        <v>5</v>
      </c>
      <c r="C92">
        <v>118</v>
      </c>
      <c r="D92" s="6">
        <v>42948</v>
      </c>
      <c r="E92" t="str">
        <f>VLOOKUP(B92,[1]pivottables!$F$2:$G$52,2,0)</f>
        <v>USA</v>
      </c>
      <c r="F92">
        <v>3</v>
      </c>
      <c r="G92">
        <f>VLOOKUP(C92,[1]products!$B$2:$E$27,4,0)</f>
        <v>56.48</v>
      </c>
      <c r="H92">
        <f t="shared" si="1"/>
        <v>169.44</v>
      </c>
    </row>
    <row r="93" spans="1:8" x14ac:dyDescent="0.3">
      <c r="A93">
        <v>92</v>
      </c>
      <c r="B93">
        <v>49</v>
      </c>
      <c r="C93">
        <v>118</v>
      </c>
      <c r="D93" s="6">
        <v>42023</v>
      </c>
      <c r="E93" t="str">
        <f>VLOOKUP(B93,[1]pivottables!$F$2:$G$52,2,0)</f>
        <v>JPN</v>
      </c>
      <c r="F93">
        <v>5</v>
      </c>
      <c r="G93">
        <f>VLOOKUP(C93,[1]products!$B$2:$E$27,4,0)</f>
        <v>56.48</v>
      </c>
      <c r="H93">
        <f t="shared" si="1"/>
        <v>282.39999999999998</v>
      </c>
    </row>
    <row r="94" spans="1:8" x14ac:dyDescent="0.3">
      <c r="A94">
        <v>93</v>
      </c>
      <c r="B94">
        <v>43</v>
      </c>
      <c r="C94">
        <v>106</v>
      </c>
      <c r="D94" s="6">
        <v>42858</v>
      </c>
      <c r="E94" t="str">
        <f>VLOOKUP(B94,[1]pivottables!$F$2:$G$52,2,0)</f>
        <v>FRA</v>
      </c>
      <c r="F94">
        <v>1</v>
      </c>
      <c r="G94">
        <f>VLOOKUP(C94,[1]products!$B$2:$E$27,4,0)</f>
        <v>132.88</v>
      </c>
      <c r="H94">
        <f t="shared" si="1"/>
        <v>132.88</v>
      </c>
    </row>
    <row r="95" spans="1:8" x14ac:dyDescent="0.3">
      <c r="A95">
        <v>94</v>
      </c>
      <c r="B95">
        <v>25</v>
      </c>
      <c r="C95">
        <v>119</v>
      </c>
      <c r="D95" s="6">
        <v>42187</v>
      </c>
      <c r="E95" t="str">
        <f>VLOOKUP(B95,[1]pivottables!$F$2:$G$52,2,0)</f>
        <v>CHN</v>
      </c>
      <c r="F95">
        <v>1</v>
      </c>
      <c r="G95">
        <f>VLOOKUP(C95,[1]products!$B$2:$E$27,4,0)</f>
        <v>74.55</v>
      </c>
      <c r="H95">
        <f t="shared" si="1"/>
        <v>74.55</v>
      </c>
    </row>
    <row r="96" spans="1:8" x14ac:dyDescent="0.3">
      <c r="A96">
        <v>95</v>
      </c>
      <c r="B96">
        <v>42</v>
      </c>
      <c r="C96">
        <v>116</v>
      </c>
      <c r="D96" s="6">
        <v>42913</v>
      </c>
      <c r="E96" t="str">
        <f>VLOOKUP(B96,[1]pivottables!$F$2:$G$52,2,0)</f>
        <v>HUN</v>
      </c>
      <c r="F96">
        <v>4</v>
      </c>
      <c r="G96">
        <f>VLOOKUP(C96,[1]products!$B$2:$E$27,4,0)</f>
        <v>137.19999999999999</v>
      </c>
      <c r="H96">
        <f t="shared" si="1"/>
        <v>548.79999999999995</v>
      </c>
    </row>
    <row r="97" spans="1:8" x14ac:dyDescent="0.3">
      <c r="A97">
        <v>96</v>
      </c>
      <c r="B97">
        <v>45</v>
      </c>
      <c r="C97">
        <v>115</v>
      </c>
      <c r="D97" s="6">
        <v>42405</v>
      </c>
      <c r="E97" t="str">
        <f>VLOOKUP(B97,[1]pivottables!$F$2:$G$52,2,0)</f>
        <v>NLD</v>
      </c>
      <c r="F97">
        <v>2</v>
      </c>
      <c r="G97">
        <f>VLOOKUP(C97,[1]products!$B$2:$E$27,4,0)</f>
        <v>22.55</v>
      </c>
      <c r="H97">
        <f t="shared" si="1"/>
        <v>45.1</v>
      </c>
    </row>
    <row r="98" spans="1:8" x14ac:dyDescent="0.3">
      <c r="A98">
        <v>97</v>
      </c>
      <c r="B98">
        <v>15</v>
      </c>
      <c r="C98">
        <v>124</v>
      </c>
      <c r="D98" s="6">
        <v>42324</v>
      </c>
      <c r="E98" t="str">
        <f>VLOOKUP(B98,[1]pivottables!$F$2:$G$52,2,0)</f>
        <v>HUN</v>
      </c>
      <c r="F98">
        <v>4</v>
      </c>
      <c r="G98">
        <f>VLOOKUP(C98,[1]products!$B$2:$E$27,4,0)</f>
        <v>108.54</v>
      </c>
      <c r="H98">
        <f t="shared" si="1"/>
        <v>434.16</v>
      </c>
    </row>
    <row r="99" spans="1:8" x14ac:dyDescent="0.3">
      <c r="A99">
        <v>98</v>
      </c>
      <c r="B99">
        <v>20</v>
      </c>
      <c r="C99">
        <v>105</v>
      </c>
      <c r="D99" s="6">
        <v>42355</v>
      </c>
      <c r="E99" t="str">
        <f>VLOOKUP(B99,[1]pivottables!$F$2:$G$52,2,0)</f>
        <v>FRA</v>
      </c>
      <c r="F99">
        <v>3</v>
      </c>
      <c r="G99">
        <f>VLOOKUP(C99,[1]products!$B$2:$E$27,4,0)</f>
        <v>149.93</v>
      </c>
      <c r="H99">
        <f t="shared" si="1"/>
        <v>449.79</v>
      </c>
    </row>
    <row r="100" spans="1:8" x14ac:dyDescent="0.3">
      <c r="A100">
        <v>99</v>
      </c>
      <c r="B100">
        <v>13</v>
      </c>
      <c r="C100">
        <v>118</v>
      </c>
      <c r="D100" s="6">
        <v>42252</v>
      </c>
      <c r="E100" t="str">
        <f>VLOOKUP(B100,[1]pivottables!$F$2:$G$52,2,0)</f>
        <v>GBR</v>
      </c>
      <c r="F100">
        <v>2</v>
      </c>
      <c r="G100">
        <f>VLOOKUP(C100,[1]products!$B$2:$E$27,4,0)</f>
        <v>56.48</v>
      </c>
      <c r="H100">
        <f t="shared" si="1"/>
        <v>112.96</v>
      </c>
    </row>
    <row r="101" spans="1:8" x14ac:dyDescent="0.3">
      <c r="A101">
        <v>100</v>
      </c>
      <c r="B101">
        <v>47</v>
      </c>
      <c r="C101">
        <v>111</v>
      </c>
      <c r="D101" s="6">
        <v>42227</v>
      </c>
      <c r="E101" t="str">
        <f>VLOOKUP(B101,[1]pivottables!$F$2:$G$52,2,0)</f>
        <v>CHN</v>
      </c>
      <c r="F101">
        <v>1</v>
      </c>
      <c r="G101">
        <f>VLOOKUP(C101,[1]products!$B$2:$E$27,4,0)</f>
        <v>149.93</v>
      </c>
      <c r="H101">
        <f t="shared" si="1"/>
        <v>149.93</v>
      </c>
    </row>
    <row r="102" spans="1:8" x14ac:dyDescent="0.3">
      <c r="A102">
        <v>101</v>
      </c>
      <c r="B102">
        <v>4</v>
      </c>
      <c r="C102">
        <v>122</v>
      </c>
      <c r="D102" s="6">
        <v>43055</v>
      </c>
      <c r="E102" t="str">
        <f>VLOOKUP(B102,[1]pivottables!$F$2:$G$52,2,0)</f>
        <v>ITA</v>
      </c>
      <c r="F102">
        <v>1</v>
      </c>
      <c r="G102">
        <f>VLOOKUP(C102,[1]products!$B$2:$E$27,4,0)</f>
        <v>32.64</v>
      </c>
      <c r="H102">
        <f t="shared" si="1"/>
        <v>32.64</v>
      </c>
    </row>
    <row r="103" spans="1:8" x14ac:dyDescent="0.3">
      <c r="A103">
        <v>102</v>
      </c>
      <c r="B103">
        <v>7</v>
      </c>
      <c r="C103">
        <v>112</v>
      </c>
      <c r="D103" s="6">
        <v>42243</v>
      </c>
      <c r="E103" t="str">
        <f>VLOOKUP(B103,[1]pivottables!$F$2:$G$52,2,0)</f>
        <v>CAN</v>
      </c>
      <c r="F103">
        <v>4</v>
      </c>
      <c r="G103">
        <f>VLOOKUP(C103,[1]products!$B$2:$E$27,4,0)</f>
        <v>106.3</v>
      </c>
      <c r="H103">
        <f t="shared" si="1"/>
        <v>425.2</v>
      </c>
    </row>
    <row r="104" spans="1:8" x14ac:dyDescent="0.3">
      <c r="A104">
        <v>103</v>
      </c>
      <c r="B104">
        <v>17</v>
      </c>
      <c r="C104">
        <v>105</v>
      </c>
      <c r="D104" s="6">
        <v>42572</v>
      </c>
      <c r="E104" t="str">
        <f>VLOOKUP(B104,[1]pivottables!$F$2:$G$52,2,0)</f>
        <v>CAN</v>
      </c>
      <c r="F104">
        <v>2</v>
      </c>
      <c r="G104">
        <f>VLOOKUP(C104,[1]products!$B$2:$E$27,4,0)</f>
        <v>149.93</v>
      </c>
      <c r="H104">
        <f t="shared" si="1"/>
        <v>299.86</v>
      </c>
    </row>
    <row r="105" spans="1:8" x14ac:dyDescent="0.3">
      <c r="A105">
        <v>104</v>
      </c>
      <c r="B105">
        <v>31</v>
      </c>
      <c r="C105">
        <v>108</v>
      </c>
      <c r="D105" s="6">
        <v>42808</v>
      </c>
      <c r="E105" t="str">
        <f>VLOOKUP(B105,[1]pivottables!$F$2:$G$52,2,0)</f>
        <v>GBR</v>
      </c>
      <c r="F105">
        <v>5</v>
      </c>
      <c r="G105">
        <f>VLOOKUP(C105,[1]products!$B$2:$E$27,4,0)</f>
        <v>137.97999999999999</v>
      </c>
      <c r="H105">
        <f t="shared" si="1"/>
        <v>689.9</v>
      </c>
    </row>
    <row r="106" spans="1:8" x14ac:dyDescent="0.3">
      <c r="A106">
        <v>105</v>
      </c>
      <c r="B106">
        <v>49</v>
      </c>
      <c r="C106">
        <v>102</v>
      </c>
      <c r="D106" s="6">
        <v>42831</v>
      </c>
      <c r="E106" t="str">
        <f>VLOOKUP(B106,[1]pivottables!$F$2:$G$52,2,0)</f>
        <v>JPN</v>
      </c>
      <c r="F106">
        <v>2</v>
      </c>
      <c r="G106">
        <f>VLOOKUP(C106,[1]products!$B$2:$E$27,4,0)</f>
        <v>14.94</v>
      </c>
      <c r="H106">
        <f t="shared" si="1"/>
        <v>29.88</v>
      </c>
    </row>
    <row r="107" spans="1:8" x14ac:dyDescent="0.3">
      <c r="A107">
        <v>106</v>
      </c>
      <c r="B107">
        <v>28</v>
      </c>
      <c r="C107">
        <v>105</v>
      </c>
      <c r="D107" s="6">
        <v>42124</v>
      </c>
      <c r="E107" t="str">
        <f>VLOOKUP(B107,[1]pivottables!$F$2:$G$52,2,0)</f>
        <v>FRA</v>
      </c>
      <c r="F107">
        <v>3</v>
      </c>
      <c r="G107">
        <f>VLOOKUP(C107,[1]products!$B$2:$E$27,4,0)</f>
        <v>149.93</v>
      </c>
      <c r="H107">
        <f t="shared" si="1"/>
        <v>449.79</v>
      </c>
    </row>
    <row r="108" spans="1:8" x14ac:dyDescent="0.3">
      <c r="A108">
        <v>107</v>
      </c>
      <c r="B108">
        <v>17</v>
      </c>
      <c r="C108">
        <v>118</v>
      </c>
      <c r="D108" s="6">
        <v>42095</v>
      </c>
      <c r="E108" t="str">
        <f>VLOOKUP(B108,[1]pivottables!$F$2:$G$52,2,0)</f>
        <v>CAN</v>
      </c>
      <c r="F108">
        <v>2</v>
      </c>
      <c r="G108">
        <f>VLOOKUP(C108,[1]products!$B$2:$E$27,4,0)</f>
        <v>56.48</v>
      </c>
      <c r="H108">
        <f t="shared" si="1"/>
        <v>112.96</v>
      </c>
    </row>
    <row r="109" spans="1:8" x14ac:dyDescent="0.3">
      <c r="A109">
        <v>108</v>
      </c>
      <c r="B109">
        <v>15</v>
      </c>
      <c r="C109">
        <v>108</v>
      </c>
      <c r="D109" s="6">
        <v>42287</v>
      </c>
      <c r="E109" t="str">
        <f>VLOOKUP(B109,[1]pivottables!$F$2:$G$52,2,0)</f>
        <v>HUN</v>
      </c>
      <c r="F109">
        <v>5</v>
      </c>
      <c r="G109">
        <f>VLOOKUP(C109,[1]products!$B$2:$E$27,4,0)</f>
        <v>137.97999999999999</v>
      </c>
      <c r="H109">
        <f t="shared" si="1"/>
        <v>689.9</v>
      </c>
    </row>
    <row r="110" spans="1:8" x14ac:dyDescent="0.3">
      <c r="A110">
        <v>109</v>
      </c>
      <c r="B110">
        <v>37</v>
      </c>
      <c r="C110">
        <v>110</v>
      </c>
      <c r="D110" s="6">
        <v>42560</v>
      </c>
      <c r="E110" t="str">
        <f>VLOOKUP(B110,[1]pivottables!$F$2:$G$52,2,0)</f>
        <v>GBR</v>
      </c>
      <c r="F110">
        <v>1</v>
      </c>
      <c r="G110">
        <f>VLOOKUP(C110,[1]products!$B$2:$E$27,4,0)</f>
        <v>10.76</v>
      </c>
      <c r="H110">
        <f t="shared" si="1"/>
        <v>10.76</v>
      </c>
    </row>
    <row r="111" spans="1:8" x14ac:dyDescent="0.3">
      <c r="A111">
        <v>110</v>
      </c>
      <c r="B111">
        <v>14</v>
      </c>
      <c r="C111">
        <v>125</v>
      </c>
      <c r="D111" s="6">
        <v>42721</v>
      </c>
      <c r="E111" t="str">
        <f>VLOOKUP(B111,[1]pivottables!$F$2:$G$52,2,0)</f>
        <v>CZE</v>
      </c>
      <c r="F111">
        <v>2</v>
      </c>
      <c r="G111">
        <f>VLOOKUP(C111,[1]products!$B$2:$E$27,4,0)</f>
        <v>90.44</v>
      </c>
      <c r="H111">
        <f t="shared" si="1"/>
        <v>180.88</v>
      </c>
    </row>
    <row r="112" spans="1:8" x14ac:dyDescent="0.3">
      <c r="A112">
        <v>111</v>
      </c>
      <c r="B112">
        <v>7</v>
      </c>
      <c r="C112">
        <v>104</v>
      </c>
      <c r="D112" s="6">
        <v>43085</v>
      </c>
      <c r="E112" t="str">
        <f>VLOOKUP(B112,[1]pivottables!$F$2:$G$52,2,0)</f>
        <v>CAN</v>
      </c>
      <c r="F112">
        <v>2</v>
      </c>
      <c r="G112">
        <f>VLOOKUP(C112,[1]products!$B$2:$E$27,4,0)</f>
        <v>122.18</v>
      </c>
      <c r="H112">
        <f t="shared" si="1"/>
        <v>244.36</v>
      </c>
    </row>
    <row r="113" spans="1:8" x14ac:dyDescent="0.3">
      <c r="A113">
        <v>112</v>
      </c>
      <c r="B113">
        <v>11</v>
      </c>
      <c r="C113">
        <v>114</v>
      </c>
      <c r="D113" s="6">
        <v>42447</v>
      </c>
      <c r="E113" t="str">
        <f>VLOOKUP(B113,[1]pivottables!$F$2:$G$52,2,0)</f>
        <v>ITA</v>
      </c>
      <c r="F113">
        <v>4</v>
      </c>
      <c r="G113">
        <f>VLOOKUP(C113,[1]products!$B$2:$E$27,4,0)</f>
        <v>74.38</v>
      </c>
      <c r="H113">
        <f t="shared" si="1"/>
        <v>297.52</v>
      </c>
    </row>
    <row r="114" spans="1:8" x14ac:dyDescent="0.3">
      <c r="A114">
        <v>113</v>
      </c>
      <c r="B114">
        <v>6</v>
      </c>
      <c r="C114">
        <v>105</v>
      </c>
      <c r="D114" s="6">
        <v>43020</v>
      </c>
      <c r="E114" t="str">
        <f>VLOOKUP(B114,[1]pivottables!$F$2:$G$52,2,0)</f>
        <v>CAN</v>
      </c>
      <c r="F114">
        <v>4</v>
      </c>
      <c r="G114">
        <f>VLOOKUP(C114,[1]products!$B$2:$E$27,4,0)</f>
        <v>149.93</v>
      </c>
      <c r="H114">
        <f t="shared" si="1"/>
        <v>599.72</v>
      </c>
    </row>
    <row r="115" spans="1:8" x14ac:dyDescent="0.3">
      <c r="A115">
        <v>114</v>
      </c>
      <c r="B115">
        <v>10</v>
      </c>
      <c r="C115">
        <v>108</v>
      </c>
      <c r="D115" s="6">
        <v>42711</v>
      </c>
      <c r="E115" t="str">
        <f>VLOOKUP(B115,[1]pivottables!$F$2:$G$52,2,0)</f>
        <v>NLD</v>
      </c>
      <c r="F115">
        <v>5</v>
      </c>
      <c r="G115">
        <f>VLOOKUP(C115,[1]products!$B$2:$E$27,4,0)</f>
        <v>137.97999999999999</v>
      </c>
      <c r="H115">
        <f t="shared" si="1"/>
        <v>689.9</v>
      </c>
    </row>
    <row r="116" spans="1:8" x14ac:dyDescent="0.3">
      <c r="A116">
        <v>115</v>
      </c>
      <c r="B116">
        <v>14</v>
      </c>
      <c r="C116">
        <v>122</v>
      </c>
      <c r="D116" s="6">
        <v>42969</v>
      </c>
      <c r="E116" t="str">
        <f>VLOOKUP(B116,[1]pivottables!$F$2:$G$52,2,0)</f>
        <v>CZE</v>
      </c>
      <c r="F116">
        <v>3</v>
      </c>
      <c r="G116">
        <f>VLOOKUP(C116,[1]products!$B$2:$E$27,4,0)</f>
        <v>32.64</v>
      </c>
      <c r="H116">
        <f t="shared" si="1"/>
        <v>97.92</v>
      </c>
    </row>
    <row r="117" spans="1:8" x14ac:dyDescent="0.3">
      <c r="A117">
        <v>116</v>
      </c>
      <c r="B117">
        <v>22</v>
      </c>
      <c r="C117">
        <v>103</v>
      </c>
      <c r="D117" s="6">
        <v>42305</v>
      </c>
      <c r="E117" t="str">
        <f>VLOOKUP(B117,[1]pivottables!$F$2:$G$52,2,0)</f>
        <v>FRA</v>
      </c>
      <c r="F117">
        <v>4</v>
      </c>
      <c r="G117">
        <f>VLOOKUP(C117,[1]products!$B$2:$E$27,4,0)</f>
        <v>108.96</v>
      </c>
      <c r="H117">
        <f t="shared" si="1"/>
        <v>435.84</v>
      </c>
    </row>
    <row r="118" spans="1:8" x14ac:dyDescent="0.3">
      <c r="A118">
        <v>117</v>
      </c>
      <c r="B118">
        <v>35</v>
      </c>
      <c r="C118">
        <v>106</v>
      </c>
      <c r="D118" s="6">
        <v>42337</v>
      </c>
      <c r="E118" t="str">
        <f>VLOOKUP(B118,[1]pivottables!$F$2:$G$52,2,0)</f>
        <v>JPN</v>
      </c>
      <c r="F118">
        <v>3</v>
      </c>
      <c r="G118">
        <f>VLOOKUP(C118,[1]products!$B$2:$E$27,4,0)</f>
        <v>132.88</v>
      </c>
      <c r="H118">
        <f t="shared" si="1"/>
        <v>398.64</v>
      </c>
    </row>
    <row r="119" spans="1:8" x14ac:dyDescent="0.3">
      <c r="A119">
        <v>118</v>
      </c>
      <c r="B119">
        <v>6</v>
      </c>
      <c r="C119">
        <v>119</v>
      </c>
      <c r="D119" s="6">
        <v>42164</v>
      </c>
      <c r="E119" t="str">
        <f>VLOOKUP(B119,[1]pivottables!$F$2:$G$52,2,0)</f>
        <v>CAN</v>
      </c>
      <c r="F119">
        <v>5</v>
      </c>
      <c r="G119">
        <f>VLOOKUP(C119,[1]products!$B$2:$E$27,4,0)</f>
        <v>74.55</v>
      </c>
      <c r="H119">
        <f t="shared" si="1"/>
        <v>372.75</v>
      </c>
    </row>
    <row r="120" spans="1:8" x14ac:dyDescent="0.3">
      <c r="A120">
        <v>119</v>
      </c>
      <c r="B120">
        <v>43</v>
      </c>
      <c r="C120">
        <v>108</v>
      </c>
      <c r="D120" s="6">
        <v>42961</v>
      </c>
      <c r="E120" t="str">
        <f>VLOOKUP(B120,[1]pivottables!$F$2:$G$52,2,0)</f>
        <v>FRA</v>
      </c>
      <c r="F120">
        <v>4</v>
      </c>
      <c r="G120">
        <f>VLOOKUP(C120,[1]products!$B$2:$E$27,4,0)</f>
        <v>137.97999999999999</v>
      </c>
      <c r="H120">
        <f t="shared" si="1"/>
        <v>551.91999999999996</v>
      </c>
    </row>
    <row r="121" spans="1:8" x14ac:dyDescent="0.3">
      <c r="A121">
        <v>120</v>
      </c>
      <c r="B121">
        <v>11</v>
      </c>
      <c r="C121">
        <v>120</v>
      </c>
      <c r="D121" s="6">
        <v>43034</v>
      </c>
      <c r="E121" t="str">
        <f>VLOOKUP(B121,[1]pivottables!$F$2:$G$52,2,0)</f>
        <v>ITA</v>
      </c>
      <c r="F121">
        <v>4</v>
      </c>
      <c r="G121">
        <f>VLOOKUP(C121,[1]products!$B$2:$E$27,4,0)</f>
        <v>17.13</v>
      </c>
      <c r="H121">
        <f t="shared" si="1"/>
        <v>68.52</v>
      </c>
    </row>
    <row r="122" spans="1:8" x14ac:dyDescent="0.3">
      <c r="A122">
        <v>121</v>
      </c>
      <c r="B122">
        <v>12</v>
      </c>
      <c r="C122">
        <v>117</v>
      </c>
      <c r="D122" s="6">
        <v>42789</v>
      </c>
      <c r="E122" t="str">
        <f>VLOOKUP(B122,[1]pivottables!$F$2:$G$52,2,0)</f>
        <v>FRA</v>
      </c>
      <c r="F122">
        <v>2</v>
      </c>
      <c r="G122">
        <f>VLOOKUP(C122,[1]products!$B$2:$E$27,4,0)</f>
        <v>47.38</v>
      </c>
      <c r="H122">
        <f t="shared" si="1"/>
        <v>94.76</v>
      </c>
    </row>
    <row r="123" spans="1:8" x14ac:dyDescent="0.3">
      <c r="A123">
        <v>122</v>
      </c>
      <c r="B123">
        <v>18</v>
      </c>
      <c r="C123">
        <v>105</v>
      </c>
      <c r="D123" s="6">
        <v>42531</v>
      </c>
      <c r="E123" t="str">
        <f>VLOOKUP(B123,[1]pivottables!$F$2:$G$52,2,0)</f>
        <v>JPN</v>
      </c>
      <c r="F123">
        <v>4</v>
      </c>
      <c r="G123">
        <f>VLOOKUP(C123,[1]products!$B$2:$E$27,4,0)</f>
        <v>149.93</v>
      </c>
      <c r="H123">
        <f t="shared" si="1"/>
        <v>599.72</v>
      </c>
    </row>
    <row r="124" spans="1:8" x14ac:dyDescent="0.3">
      <c r="A124">
        <v>123</v>
      </c>
      <c r="B124">
        <v>26</v>
      </c>
      <c r="C124">
        <v>104</v>
      </c>
      <c r="D124" s="6">
        <v>42112</v>
      </c>
      <c r="E124" t="str">
        <f>VLOOKUP(B124,[1]pivottables!$F$2:$G$52,2,0)</f>
        <v>NLD</v>
      </c>
      <c r="F124">
        <v>2</v>
      </c>
      <c r="G124">
        <f>VLOOKUP(C124,[1]products!$B$2:$E$27,4,0)</f>
        <v>122.18</v>
      </c>
      <c r="H124">
        <f t="shared" si="1"/>
        <v>244.36</v>
      </c>
    </row>
    <row r="125" spans="1:8" x14ac:dyDescent="0.3">
      <c r="A125">
        <v>124</v>
      </c>
      <c r="B125">
        <v>12</v>
      </c>
      <c r="C125">
        <v>125</v>
      </c>
      <c r="D125" s="6">
        <v>42287</v>
      </c>
      <c r="E125" t="str">
        <f>VLOOKUP(B125,[1]pivottables!$F$2:$G$52,2,0)</f>
        <v>FRA</v>
      </c>
      <c r="F125">
        <v>3</v>
      </c>
      <c r="G125">
        <f>VLOOKUP(C125,[1]products!$B$2:$E$27,4,0)</f>
        <v>90.44</v>
      </c>
      <c r="H125">
        <f t="shared" si="1"/>
        <v>271.32</v>
      </c>
    </row>
    <row r="126" spans="1:8" x14ac:dyDescent="0.3">
      <c r="A126">
        <v>125</v>
      </c>
      <c r="B126">
        <v>50</v>
      </c>
      <c r="C126">
        <v>125</v>
      </c>
      <c r="D126" s="6">
        <v>42824</v>
      </c>
      <c r="E126" t="str">
        <f>VLOOKUP(B126,[1]pivottables!$F$2:$G$52,2,0)</f>
        <v>NLD</v>
      </c>
      <c r="F126">
        <v>2</v>
      </c>
      <c r="G126">
        <f>VLOOKUP(C126,[1]products!$B$2:$E$27,4,0)</f>
        <v>90.44</v>
      </c>
      <c r="H126">
        <f t="shared" si="1"/>
        <v>180.88</v>
      </c>
    </row>
    <row r="127" spans="1:8" x14ac:dyDescent="0.3">
      <c r="A127">
        <v>126</v>
      </c>
      <c r="B127">
        <v>13</v>
      </c>
      <c r="C127">
        <v>109</v>
      </c>
      <c r="D127" s="6">
        <v>42919</v>
      </c>
      <c r="E127" t="str">
        <f>VLOOKUP(B127,[1]pivottables!$F$2:$G$52,2,0)</f>
        <v>GBR</v>
      </c>
      <c r="F127">
        <v>2</v>
      </c>
      <c r="G127">
        <f>VLOOKUP(C127,[1]products!$B$2:$E$27,4,0)</f>
        <v>143.97999999999999</v>
      </c>
      <c r="H127">
        <f t="shared" si="1"/>
        <v>287.95999999999998</v>
      </c>
    </row>
    <row r="128" spans="1:8" x14ac:dyDescent="0.3">
      <c r="A128">
        <v>127</v>
      </c>
      <c r="B128">
        <v>19</v>
      </c>
      <c r="C128">
        <v>106</v>
      </c>
      <c r="D128" s="6">
        <v>42889</v>
      </c>
      <c r="E128" t="str">
        <f>VLOOKUP(B128,[1]pivottables!$F$2:$G$52,2,0)</f>
        <v>NLD</v>
      </c>
      <c r="F128">
        <v>2</v>
      </c>
      <c r="G128">
        <f>VLOOKUP(C128,[1]products!$B$2:$E$27,4,0)</f>
        <v>132.88</v>
      </c>
      <c r="H128">
        <f t="shared" si="1"/>
        <v>265.76</v>
      </c>
    </row>
    <row r="129" spans="1:8" x14ac:dyDescent="0.3">
      <c r="A129">
        <v>128</v>
      </c>
      <c r="B129">
        <v>30</v>
      </c>
      <c r="C129">
        <v>108</v>
      </c>
      <c r="D129" s="6">
        <v>42206</v>
      </c>
      <c r="E129" t="str">
        <f>VLOOKUP(B129,[1]pivottables!$F$2:$G$52,2,0)</f>
        <v>FRA</v>
      </c>
      <c r="F129">
        <v>4</v>
      </c>
      <c r="G129">
        <f>VLOOKUP(C129,[1]products!$B$2:$E$27,4,0)</f>
        <v>137.97999999999999</v>
      </c>
      <c r="H129">
        <f t="shared" si="1"/>
        <v>551.91999999999996</v>
      </c>
    </row>
    <row r="130" spans="1:8" x14ac:dyDescent="0.3">
      <c r="A130">
        <v>129</v>
      </c>
      <c r="B130">
        <v>41</v>
      </c>
      <c r="C130">
        <v>114</v>
      </c>
      <c r="D130" s="6">
        <v>42540</v>
      </c>
      <c r="E130" t="str">
        <f>VLOOKUP(B130,[1]pivottables!$F$2:$G$52,2,0)</f>
        <v>FRA</v>
      </c>
      <c r="F130">
        <v>2</v>
      </c>
      <c r="G130">
        <f>VLOOKUP(C130,[1]products!$B$2:$E$27,4,0)</f>
        <v>74.38</v>
      </c>
      <c r="H130">
        <f t="shared" si="1"/>
        <v>148.76</v>
      </c>
    </row>
    <row r="131" spans="1:8" x14ac:dyDescent="0.3">
      <c r="A131">
        <v>130</v>
      </c>
      <c r="B131">
        <v>42</v>
      </c>
      <c r="C131">
        <v>101</v>
      </c>
      <c r="D131" s="6">
        <v>42781</v>
      </c>
      <c r="E131" t="str">
        <f>VLOOKUP(B131,[1]pivottables!$F$2:$G$52,2,0)</f>
        <v>HUN</v>
      </c>
      <c r="F131">
        <v>3</v>
      </c>
      <c r="G131">
        <f>VLOOKUP(C131,[1]products!$B$2:$E$27,4,0)</f>
        <v>108.61</v>
      </c>
      <c r="H131">
        <f t="shared" ref="H131:H194" si="2">G131*F131</f>
        <v>325.83</v>
      </c>
    </row>
    <row r="132" spans="1:8" x14ac:dyDescent="0.3">
      <c r="A132">
        <v>131</v>
      </c>
      <c r="B132">
        <v>3</v>
      </c>
      <c r="C132">
        <v>124</v>
      </c>
      <c r="D132" s="6">
        <v>42221</v>
      </c>
      <c r="E132" t="str">
        <f>VLOOKUP(B132,[1]pivottables!$F$2:$G$52,2,0)</f>
        <v>NLD</v>
      </c>
      <c r="F132">
        <v>3</v>
      </c>
      <c r="G132">
        <f>VLOOKUP(C132,[1]products!$B$2:$E$27,4,0)</f>
        <v>108.54</v>
      </c>
      <c r="H132">
        <f t="shared" si="2"/>
        <v>325.62</v>
      </c>
    </row>
    <row r="133" spans="1:8" x14ac:dyDescent="0.3">
      <c r="A133">
        <v>132</v>
      </c>
      <c r="B133">
        <v>26</v>
      </c>
      <c r="C133">
        <v>118</v>
      </c>
      <c r="D133" s="6">
        <v>42239</v>
      </c>
      <c r="E133" t="str">
        <f>VLOOKUP(B133,[1]pivottables!$F$2:$G$52,2,0)</f>
        <v>NLD</v>
      </c>
      <c r="F133">
        <v>4</v>
      </c>
      <c r="G133">
        <f>VLOOKUP(C133,[1]products!$B$2:$E$27,4,0)</f>
        <v>56.48</v>
      </c>
      <c r="H133">
        <f t="shared" si="2"/>
        <v>225.92</v>
      </c>
    </row>
    <row r="134" spans="1:8" x14ac:dyDescent="0.3">
      <c r="A134">
        <v>133</v>
      </c>
      <c r="B134">
        <v>32</v>
      </c>
      <c r="C134">
        <v>116</v>
      </c>
      <c r="D134" s="6">
        <v>42586</v>
      </c>
      <c r="E134" t="str">
        <f>VLOOKUP(B134,[1]pivottables!$F$2:$G$52,2,0)</f>
        <v>NLD</v>
      </c>
      <c r="F134">
        <v>1</v>
      </c>
      <c r="G134">
        <f>VLOOKUP(C134,[1]products!$B$2:$E$27,4,0)</f>
        <v>137.19999999999999</v>
      </c>
      <c r="H134">
        <f t="shared" si="2"/>
        <v>137.19999999999999</v>
      </c>
    </row>
    <row r="135" spans="1:8" x14ac:dyDescent="0.3">
      <c r="A135">
        <v>134</v>
      </c>
      <c r="B135">
        <v>31</v>
      </c>
      <c r="C135">
        <v>121</v>
      </c>
      <c r="D135" s="6">
        <v>42835</v>
      </c>
      <c r="E135" t="str">
        <f>VLOOKUP(B135,[1]pivottables!$F$2:$G$52,2,0)</f>
        <v>GBR</v>
      </c>
      <c r="F135">
        <v>1</v>
      </c>
      <c r="G135">
        <f>VLOOKUP(C135,[1]products!$B$2:$E$27,4,0)</f>
        <v>49.09</v>
      </c>
      <c r="H135">
        <f t="shared" si="2"/>
        <v>49.09</v>
      </c>
    </row>
    <row r="136" spans="1:8" x14ac:dyDescent="0.3">
      <c r="A136">
        <v>135</v>
      </c>
      <c r="B136">
        <v>39</v>
      </c>
      <c r="C136">
        <v>109</v>
      </c>
      <c r="D136" s="6">
        <v>42981</v>
      </c>
      <c r="E136" t="str">
        <f>VLOOKUP(B136,[1]pivottables!$F$2:$G$52,2,0)</f>
        <v>GBR</v>
      </c>
      <c r="F136">
        <v>2</v>
      </c>
      <c r="G136">
        <f>VLOOKUP(C136,[1]products!$B$2:$E$27,4,0)</f>
        <v>143.97999999999999</v>
      </c>
      <c r="H136">
        <f t="shared" si="2"/>
        <v>287.95999999999998</v>
      </c>
    </row>
    <row r="137" spans="1:8" x14ac:dyDescent="0.3">
      <c r="A137">
        <v>136</v>
      </c>
      <c r="B137">
        <v>19</v>
      </c>
      <c r="C137">
        <v>115</v>
      </c>
      <c r="D137" s="6">
        <v>42150</v>
      </c>
      <c r="E137" t="str">
        <f>VLOOKUP(B137,[1]pivottables!$F$2:$G$52,2,0)</f>
        <v>NLD</v>
      </c>
      <c r="F137">
        <v>4</v>
      </c>
      <c r="G137">
        <f>VLOOKUP(C137,[1]products!$B$2:$E$27,4,0)</f>
        <v>22.55</v>
      </c>
      <c r="H137">
        <f t="shared" si="2"/>
        <v>90.2</v>
      </c>
    </row>
    <row r="138" spans="1:8" x14ac:dyDescent="0.3">
      <c r="A138">
        <v>137</v>
      </c>
      <c r="B138">
        <v>1</v>
      </c>
      <c r="C138">
        <v>113</v>
      </c>
      <c r="D138" s="6">
        <v>42545</v>
      </c>
      <c r="E138" t="str">
        <f>VLOOKUP(B138,[1]pivottables!$F$2:$G$52,2,0)</f>
        <v>FRA</v>
      </c>
      <c r="F138">
        <v>5</v>
      </c>
      <c r="G138">
        <f>VLOOKUP(C138,[1]products!$B$2:$E$27,4,0)</f>
        <v>9.89</v>
      </c>
      <c r="H138">
        <f t="shared" si="2"/>
        <v>49.45</v>
      </c>
    </row>
    <row r="139" spans="1:8" x14ac:dyDescent="0.3">
      <c r="A139">
        <v>138</v>
      </c>
      <c r="B139">
        <v>48</v>
      </c>
      <c r="C139">
        <v>122</v>
      </c>
      <c r="D139" s="6">
        <v>42934</v>
      </c>
      <c r="E139" t="str">
        <f>VLOOKUP(B139,[1]pivottables!$F$2:$G$52,2,0)</f>
        <v>GBR</v>
      </c>
      <c r="F139">
        <v>3</v>
      </c>
      <c r="G139">
        <f>VLOOKUP(C139,[1]products!$B$2:$E$27,4,0)</f>
        <v>32.64</v>
      </c>
      <c r="H139">
        <f t="shared" si="2"/>
        <v>97.92</v>
      </c>
    </row>
    <row r="140" spans="1:8" x14ac:dyDescent="0.3">
      <c r="A140">
        <v>139</v>
      </c>
      <c r="B140">
        <v>49</v>
      </c>
      <c r="C140">
        <v>110</v>
      </c>
      <c r="D140" s="6">
        <v>43039</v>
      </c>
      <c r="E140" t="str">
        <f>VLOOKUP(B140,[1]pivottables!$F$2:$G$52,2,0)</f>
        <v>JPN</v>
      </c>
      <c r="F140">
        <v>5</v>
      </c>
      <c r="G140">
        <f>VLOOKUP(C140,[1]products!$B$2:$E$27,4,0)</f>
        <v>10.76</v>
      </c>
      <c r="H140">
        <f t="shared" si="2"/>
        <v>53.8</v>
      </c>
    </row>
    <row r="141" spans="1:8" x14ac:dyDescent="0.3">
      <c r="A141">
        <v>140</v>
      </c>
      <c r="B141">
        <v>20</v>
      </c>
      <c r="C141">
        <v>102</v>
      </c>
      <c r="D141" s="6">
        <v>42452</v>
      </c>
      <c r="E141" t="str">
        <f>VLOOKUP(B141,[1]pivottables!$F$2:$G$52,2,0)</f>
        <v>FRA</v>
      </c>
      <c r="F141">
        <v>4</v>
      </c>
      <c r="G141">
        <f>VLOOKUP(C141,[1]products!$B$2:$E$27,4,0)</f>
        <v>14.94</v>
      </c>
      <c r="H141">
        <f t="shared" si="2"/>
        <v>59.76</v>
      </c>
    </row>
    <row r="142" spans="1:8" x14ac:dyDescent="0.3">
      <c r="A142">
        <v>141</v>
      </c>
      <c r="B142">
        <v>36</v>
      </c>
      <c r="C142">
        <v>103</v>
      </c>
      <c r="D142" s="6">
        <v>42478</v>
      </c>
      <c r="E142" t="str">
        <f>VLOOKUP(B142,[1]pivottables!$F$2:$G$52,2,0)</f>
        <v>FRA</v>
      </c>
      <c r="F142">
        <v>4</v>
      </c>
      <c r="G142">
        <f>VLOOKUP(C142,[1]products!$B$2:$E$27,4,0)</f>
        <v>108.96</v>
      </c>
      <c r="H142">
        <f t="shared" si="2"/>
        <v>435.84</v>
      </c>
    </row>
    <row r="143" spans="1:8" x14ac:dyDescent="0.3">
      <c r="A143">
        <v>142</v>
      </c>
      <c r="B143">
        <v>9</v>
      </c>
      <c r="C143">
        <v>101</v>
      </c>
      <c r="D143" s="6">
        <v>42882</v>
      </c>
      <c r="E143" t="str">
        <f>VLOOKUP(B143,[1]pivottables!$F$2:$G$52,2,0)</f>
        <v>HUN</v>
      </c>
      <c r="F143">
        <v>2</v>
      </c>
      <c r="G143">
        <f>VLOOKUP(C143,[1]products!$B$2:$E$27,4,0)</f>
        <v>108.61</v>
      </c>
      <c r="H143">
        <f t="shared" si="2"/>
        <v>217.22</v>
      </c>
    </row>
    <row r="144" spans="1:8" x14ac:dyDescent="0.3">
      <c r="A144">
        <v>143</v>
      </c>
      <c r="B144">
        <v>47</v>
      </c>
      <c r="C144">
        <v>121</v>
      </c>
      <c r="D144" s="6">
        <v>42008</v>
      </c>
      <c r="E144" t="str">
        <f>VLOOKUP(B144,[1]pivottables!$F$2:$G$52,2,0)</f>
        <v>CHN</v>
      </c>
      <c r="F144">
        <v>1</v>
      </c>
      <c r="G144">
        <f>VLOOKUP(C144,[1]products!$B$2:$E$27,4,0)</f>
        <v>49.09</v>
      </c>
      <c r="H144">
        <f t="shared" si="2"/>
        <v>49.09</v>
      </c>
    </row>
    <row r="145" spans="1:8" x14ac:dyDescent="0.3">
      <c r="A145">
        <v>144</v>
      </c>
      <c r="B145">
        <v>6</v>
      </c>
      <c r="C145">
        <v>115</v>
      </c>
      <c r="D145" s="6">
        <v>42864</v>
      </c>
      <c r="E145" t="str">
        <f>VLOOKUP(B145,[1]pivottables!$F$2:$G$52,2,0)</f>
        <v>CAN</v>
      </c>
      <c r="F145">
        <v>3</v>
      </c>
      <c r="G145">
        <f>VLOOKUP(C145,[1]products!$B$2:$E$27,4,0)</f>
        <v>22.55</v>
      </c>
      <c r="H145">
        <f t="shared" si="2"/>
        <v>67.650000000000006</v>
      </c>
    </row>
    <row r="146" spans="1:8" x14ac:dyDescent="0.3">
      <c r="A146">
        <v>145</v>
      </c>
      <c r="B146">
        <v>21</v>
      </c>
      <c r="C146">
        <v>104</v>
      </c>
      <c r="D146" s="6">
        <v>43033</v>
      </c>
      <c r="E146" t="str">
        <f>VLOOKUP(B146,[1]pivottables!$F$2:$G$52,2,0)</f>
        <v>HUN</v>
      </c>
      <c r="F146">
        <v>1</v>
      </c>
      <c r="G146">
        <f>VLOOKUP(C146,[1]products!$B$2:$E$27,4,0)</f>
        <v>122.18</v>
      </c>
      <c r="H146">
        <f t="shared" si="2"/>
        <v>122.18</v>
      </c>
    </row>
    <row r="147" spans="1:8" x14ac:dyDescent="0.3">
      <c r="A147">
        <v>146</v>
      </c>
      <c r="B147">
        <v>14</v>
      </c>
      <c r="C147">
        <v>123</v>
      </c>
      <c r="D147" s="6">
        <v>42326</v>
      </c>
      <c r="E147" t="str">
        <f>VLOOKUP(B147,[1]pivottables!$F$2:$G$52,2,0)</f>
        <v>CZE</v>
      </c>
      <c r="F147">
        <v>2</v>
      </c>
      <c r="G147">
        <f>VLOOKUP(C147,[1]products!$B$2:$E$27,4,0)</f>
        <v>39.67</v>
      </c>
      <c r="H147">
        <f t="shared" si="2"/>
        <v>79.34</v>
      </c>
    </row>
    <row r="148" spans="1:8" x14ac:dyDescent="0.3">
      <c r="A148">
        <v>147</v>
      </c>
      <c r="B148">
        <v>28</v>
      </c>
      <c r="C148">
        <v>107</v>
      </c>
      <c r="D148" s="6">
        <v>42592</v>
      </c>
      <c r="E148" t="str">
        <f>VLOOKUP(B148,[1]pivottables!$F$2:$G$52,2,0)</f>
        <v>FRA</v>
      </c>
      <c r="F148">
        <v>4</v>
      </c>
      <c r="G148">
        <f>VLOOKUP(C148,[1]products!$B$2:$E$27,4,0)</f>
        <v>43.1</v>
      </c>
      <c r="H148">
        <f t="shared" si="2"/>
        <v>172.4</v>
      </c>
    </row>
    <row r="149" spans="1:8" x14ac:dyDescent="0.3">
      <c r="A149">
        <v>148</v>
      </c>
      <c r="B149">
        <v>2</v>
      </c>
      <c r="C149">
        <v>102</v>
      </c>
      <c r="D149" s="6">
        <v>43044</v>
      </c>
      <c r="E149" t="str">
        <f>VLOOKUP(B149,[1]pivottables!$F$2:$G$52,2,0)</f>
        <v>CZE</v>
      </c>
      <c r="F149">
        <v>1</v>
      </c>
      <c r="G149">
        <f>VLOOKUP(C149,[1]products!$B$2:$E$27,4,0)</f>
        <v>14.94</v>
      </c>
      <c r="H149">
        <f t="shared" si="2"/>
        <v>14.94</v>
      </c>
    </row>
    <row r="150" spans="1:8" x14ac:dyDescent="0.3">
      <c r="A150">
        <v>149</v>
      </c>
      <c r="B150">
        <v>29</v>
      </c>
      <c r="C150">
        <v>119</v>
      </c>
      <c r="D150" s="6">
        <v>42986</v>
      </c>
      <c r="E150" t="str">
        <f>VLOOKUP(B150,[1]pivottables!$F$2:$G$52,2,0)</f>
        <v>FRA</v>
      </c>
      <c r="F150">
        <v>1</v>
      </c>
      <c r="G150">
        <f>VLOOKUP(C150,[1]products!$B$2:$E$27,4,0)</f>
        <v>74.55</v>
      </c>
      <c r="H150">
        <f t="shared" si="2"/>
        <v>74.55</v>
      </c>
    </row>
    <row r="151" spans="1:8" x14ac:dyDescent="0.3">
      <c r="A151">
        <v>150</v>
      </c>
      <c r="B151">
        <v>21</v>
      </c>
      <c r="C151">
        <v>112</v>
      </c>
      <c r="D151" s="6">
        <v>42567</v>
      </c>
      <c r="E151" t="str">
        <f>VLOOKUP(B151,[1]pivottables!$F$2:$G$52,2,0)</f>
        <v>HUN</v>
      </c>
      <c r="F151">
        <v>5</v>
      </c>
      <c r="G151">
        <f>VLOOKUP(C151,[1]products!$B$2:$E$27,4,0)</f>
        <v>106.3</v>
      </c>
      <c r="H151">
        <f t="shared" si="2"/>
        <v>531.5</v>
      </c>
    </row>
    <row r="152" spans="1:8" x14ac:dyDescent="0.3">
      <c r="A152">
        <v>151</v>
      </c>
      <c r="B152">
        <v>10</v>
      </c>
      <c r="C152">
        <v>102</v>
      </c>
      <c r="D152" s="6">
        <v>42880</v>
      </c>
      <c r="E152" t="str">
        <f>VLOOKUP(B152,[1]pivottables!$F$2:$G$52,2,0)</f>
        <v>NLD</v>
      </c>
      <c r="F152">
        <v>3</v>
      </c>
      <c r="G152">
        <f>VLOOKUP(C152,[1]products!$B$2:$E$27,4,0)</f>
        <v>14.94</v>
      </c>
      <c r="H152">
        <f t="shared" si="2"/>
        <v>44.82</v>
      </c>
    </row>
    <row r="153" spans="1:8" x14ac:dyDescent="0.3">
      <c r="A153">
        <v>152</v>
      </c>
      <c r="B153">
        <v>30</v>
      </c>
      <c r="C153">
        <v>111</v>
      </c>
      <c r="D153" s="6">
        <v>42714</v>
      </c>
      <c r="E153" t="str">
        <f>VLOOKUP(B153,[1]pivottables!$F$2:$G$52,2,0)</f>
        <v>FRA</v>
      </c>
      <c r="F153">
        <v>5</v>
      </c>
      <c r="G153">
        <f>VLOOKUP(C153,[1]products!$B$2:$E$27,4,0)</f>
        <v>149.93</v>
      </c>
      <c r="H153">
        <f t="shared" si="2"/>
        <v>749.65000000000009</v>
      </c>
    </row>
    <row r="154" spans="1:8" x14ac:dyDescent="0.3">
      <c r="A154">
        <v>153</v>
      </c>
      <c r="B154">
        <v>39</v>
      </c>
      <c r="C154">
        <v>112</v>
      </c>
      <c r="D154" s="6">
        <v>42254</v>
      </c>
      <c r="E154" t="str">
        <f>VLOOKUP(B154,[1]pivottables!$F$2:$G$52,2,0)</f>
        <v>GBR</v>
      </c>
      <c r="F154">
        <v>5</v>
      </c>
      <c r="G154">
        <f>VLOOKUP(C154,[1]products!$B$2:$E$27,4,0)</f>
        <v>106.3</v>
      </c>
      <c r="H154">
        <f t="shared" si="2"/>
        <v>531.5</v>
      </c>
    </row>
    <row r="155" spans="1:8" x14ac:dyDescent="0.3">
      <c r="A155">
        <v>154</v>
      </c>
      <c r="B155">
        <v>11</v>
      </c>
      <c r="C155">
        <v>119</v>
      </c>
      <c r="D155" s="6">
        <v>42833</v>
      </c>
      <c r="E155" t="str">
        <f>VLOOKUP(B155,[1]pivottables!$F$2:$G$52,2,0)</f>
        <v>ITA</v>
      </c>
      <c r="F155">
        <v>4</v>
      </c>
      <c r="G155">
        <f>VLOOKUP(C155,[1]products!$B$2:$E$27,4,0)</f>
        <v>74.55</v>
      </c>
      <c r="H155">
        <f t="shared" si="2"/>
        <v>298.2</v>
      </c>
    </row>
    <row r="156" spans="1:8" x14ac:dyDescent="0.3">
      <c r="A156">
        <v>155</v>
      </c>
      <c r="B156">
        <v>10</v>
      </c>
      <c r="C156">
        <v>101</v>
      </c>
      <c r="D156" s="6">
        <v>42979</v>
      </c>
      <c r="E156" t="str">
        <f>VLOOKUP(B156,[1]pivottables!$F$2:$G$52,2,0)</f>
        <v>NLD</v>
      </c>
      <c r="F156">
        <v>2</v>
      </c>
      <c r="G156">
        <f>VLOOKUP(C156,[1]products!$B$2:$E$27,4,0)</f>
        <v>108.61</v>
      </c>
      <c r="H156">
        <f t="shared" si="2"/>
        <v>217.22</v>
      </c>
    </row>
    <row r="157" spans="1:8" x14ac:dyDescent="0.3">
      <c r="A157">
        <v>156</v>
      </c>
      <c r="B157">
        <v>39</v>
      </c>
      <c r="C157">
        <v>104</v>
      </c>
      <c r="D157" s="6">
        <v>42641</v>
      </c>
      <c r="E157" t="str">
        <f>VLOOKUP(B157,[1]pivottables!$F$2:$G$52,2,0)</f>
        <v>GBR</v>
      </c>
      <c r="F157">
        <v>2</v>
      </c>
      <c r="G157">
        <f>VLOOKUP(C157,[1]products!$B$2:$E$27,4,0)</f>
        <v>122.18</v>
      </c>
      <c r="H157">
        <f t="shared" si="2"/>
        <v>244.36</v>
      </c>
    </row>
    <row r="158" spans="1:8" x14ac:dyDescent="0.3">
      <c r="A158">
        <v>157</v>
      </c>
      <c r="B158">
        <v>22</v>
      </c>
      <c r="C158">
        <v>124</v>
      </c>
      <c r="D158" s="6">
        <v>42652</v>
      </c>
      <c r="E158" t="str">
        <f>VLOOKUP(B158,[1]pivottables!$F$2:$G$52,2,0)</f>
        <v>FRA</v>
      </c>
      <c r="F158">
        <v>3</v>
      </c>
      <c r="G158">
        <f>VLOOKUP(C158,[1]products!$B$2:$E$27,4,0)</f>
        <v>108.54</v>
      </c>
      <c r="H158">
        <f t="shared" si="2"/>
        <v>325.62</v>
      </c>
    </row>
    <row r="159" spans="1:8" x14ac:dyDescent="0.3">
      <c r="A159">
        <v>158</v>
      </c>
      <c r="B159">
        <v>4</v>
      </c>
      <c r="C159">
        <v>114</v>
      </c>
      <c r="D159" s="6">
        <v>42906</v>
      </c>
      <c r="E159" t="str">
        <f>VLOOKUP(B159,[1]pivottables!$F$2:$G$52,2,0)</f>
        <v>ITA</v>
      </c>
      <c r="F159">
        <v>3</v>
      </c>
      <c r="G159">
        <f>VLOOKUP(C159,[1]products!$B$2:$E$27,4,0)</f>
        <v>74.38</v>
      </c>
      <c r="H159">
        <f t="shared" si="2"/>
        <v>223.14</v>
      </c>
    </row>
    <row r="160" spans="1:8" x14ac:dyDescent="0.3">
      <c r="A160">
        <v>159</v>
      </c>
      <c r="B160">
        <v>45</v>
      </c>
      <c r="C160">
        <v>100</v>
      </c>
      <c r="D160" s="6">
        <v>42017</v>
      </c>
      <c r="E160" t="str">
        <f>VLOOKUP(B160,[1]pivottables!$F$2:$G$52,2,0)</f>
        <v>NLD</v>
      </c>
      <c r="F160">
        <v>1</v>
      </c>
      <c r="G160">
        <f>VLOOKUP(C160,[1]products!$B$2:$E$27,4,0)</f>
        <v>30.29</v>
      </c>
      <c r="H160">
        <f t="shared" si="2"/>
        <v>30.29</v>
      </c>
    </row>
    <row r="161" spans="1:8" x14ac:dyDescent="0.3">
      <c r="A161">
        <v>160</v>
      </c>
      <c r="B161">
        <v>25</v>
      </c>
      <c r="C161">
        <v>123</v>
      </c>
      <c r="D161" s="6">
        <v>42428</v>
      </c>
      <c r="E161" t="str">
        <f>VLOOKUP(B161,[1]pivottables!$F$2:$G$52,2,0)</f>
        <v>CHN</v>
      </c>
      <c r="F161">
        <v>4</v>
      </c>
      <c r="G161">
        <f>VLOOKUP(C161,[1]products!$B$2:$E$27,4,0)</f>
        <v>39.67</v>
      </c>
      <c r="H161">
        <f t="shared" si="2"/>
        <v>158.68</v>
      </c>
    </row>
    <row r="162" spans="1:8" x14ac:dyDescent="0.3">
      <c r="A162">
        <v>161</v>
      </c>
      <c r="B162">
        <v>36</v>
      </c>
      <c r="C162">
        <v>124</v>
      </c>
      <c r="D162" s="6">
        <v>42334</v>
      </c>
      <c r="E162" t="str">
        <f>VLOOKUP(B162,[1]pivottables!$F$2:$G$52,2,0)</f>
        <v>FRA</v>
      </c>
      <c r="F162">
        <v>2</v>
      </c>
      <c r="G162">
        <f>VLOOKUP(C162,[1]products!$B$2:$E$27,4,0)</f>
        <v>108.54</v>
      </c>
      <c r="H162">
        <f t="shared" si="2"/>
        <v>217.08</v>
      </c>
    </row>
    <row r="163" spans="1:8" x14ac:dyDescent="0.3">
      <c r="A163">
        <v>162</v>
      </c>
      <c r="B163">
        <v>36</v>
      </c>
      <c r="C163">
        <v>115</v>
      </c>
      <c r="D163" s="6">
        <v>42892</v>
      </c>
      <c r="E163" t="str">
        <f>VLOOKUP(B163,[1]pivottables!$F$2:$G$52,2,0)</f>
        <v>FRA</v>
      </c>
      <c r="F163">
        <v>3</v>
      </c>
      <c r="G163">
        <f>VLOOKUP(C163,[1]products!$B$2:$E$27,4,0)</f>
        <v>22.55</v>
      </c>
      <c r="H163">
        <f t="shared" si="2"/>
        <v>67.650000000000006</v>
      </c>
    </row>
    <row r="164" spans="1:8" x14ac:dyDescent="0.3">
      <c r="A164">
        <v>163</v>
      </c>
      <c r="B164">
        <v>4</v>
      </c>
      <c r="C164">
        <v>118</v>
      </c>
      <c r="D164" s="6">
        <v>42894</v>
      </c>
      <c r="E164" t="str">
        <f>VLOOKUP(B164,[1]pivottables!$F$2:$G$52,2,0)</f>
        <v>ITA</v>
      </c>
      <c r="F164">
        <v>4</v>
      </c>
      <c r="G164">
        <f>VLOOKUP(C164,[1]products!$B$2:$E$27,4,0)</f>
        <v>56.48</v>
      </c>
      <c r="H164">
        <f t="shared" si="2"/>
        <v>225.92</v>
      </c>
    </row>
    <row r="165" spans="1:8" x14ac:dyDescent="0.3">
      <c r="A165">
        <v>164</v>
      </c>
      <c r="B165">
        <v>23</v>
      </c>
      <c r="C165">
        <v>104</v>
      </c>
      <c r="D165" s="6">
        <v>42536</v>
      </c>
      <c r="E165" t="str">
        <f>VLOOKUP(B165,[1]pivottables!$F$2:$G$52,2,0)</f>
        <v>GBR</v>
      </c>
      <c r="F165">
        <v>1</v>
      </c>
      <c r="G165">
        <f>VLOOKUP(C165,[1]products!$B$2:$E$27,4,0)</f>
        <v>122.18</v>
      </c>
      <c r="H165">
        <f t="shared" si="2"/>
        <v>122.18</v>
      </c>
    </row>
    <row r="166" spans="1:8" x14ac:dyDescent="0.3">
      <c r="A166">
        <v>165</v>
      </c>
      <c r="B166">
        <v>48</v>
      </c>
      <c r="C166">
        <v>121</v>
      </c>
      <c r="D166" s="6">
        <v>42235</v>
      </c>
      <c r="E166" t="str">
        <f>VLOOKUP(B166,[1]pivottables!$F$2:$G$52,2,0)</f>
        <v>GBR</v>
      </c>
      <c r="F166">
        <v>1</v>
      </c>
      <c r="G166">
        <f>VLOOKUP(C166,[1]products!$B$2:$E$27,4,0)</f>
        <v>49.09</v>
      </c>
      <c r="H166">
        <f t="shared" si="2"/>
        <v>49.09</v>
      </c>
    </row>
    <row r="167" spans="1:8" x14ac:dyDescent="0.3">
      <c r="A167">
        <v>166</v>
      </c>
      <c r="B167">
        <v>36</v>
      </c>
      <c r="C167">
        <v>119</v>
      </c>
      <c r="D167" s="6">
        <v>42986</v>
      </c>
      <c r="E167" t="str">
        <f>VLOOKUP(B167,[1]pivottables!$F$2:$G$52,2,0)</f>
        <v>FRA</v>
      </c>
      <c r="F167">
        <v>1</v>
      </c>
      <c r="G167">
        <f>VLOOKUP(C167,[1]products!$B$2:$E$27,4,0)</f>
        <v>74.55</v>
      </c>
      <c r="H167">
        <f t="shared" si="2"/>
        <v>74.55</v>
      </c>
    </row>
    <row r="168" spans="1:8" x14ac:dyDescent="0.3">
      <c r="A168">
        <v>167</v>
      </c>
      <c r="B168">
        <v>15</v>
      </c>
      <c r="C168">
        <v>123</v>
      </c>
      <c r="D168" s="6">
        <v>42885</v>
      </c>
      <c r="E168" t="str">
        <f>VLOOKUP(B168,[1]pivottables!$F$2:$G$52,2,0)</f>
        <v>HUN</v>
      </c>
      <c r="F168">
        <v>2</v>
      </c>
      <c r="G168">
        <f>VLOOKUP(C168,[1]products!$B$2:$E$27,4,0)</f>
        <v>39.67</v>
      </c>
      <c r="H168">
        <f t="shared" si="2"/>
        <v>79.34</v>
      </c>
    </row>
    <row r="169" spans="1:8" x14ac:dyDescent="0.3">
      <c r="A169">
        <v>168</v>
      </c>
      <c r="B169">
        <v>10</v>
      </c>
      <c r="C169">
        <v>110</v>
      </c>
      <c r="D169" s="6">
        <v>42817</v>
      </c>
      <c r="E169" t="str">
        <f>VLOOKUP(B169,[1]pivottables!$F$2:$G$52,2,0)</f>
        <v>NLD</v>
      </c>
      <c r="F169">
        <v>3</v>
      </c>
      <c r="G169">
        <f>VLOOKUP(C169,[1]products!$B$2:$E$27,4,0)</f>
        <v>10.76</v>
      </c>
      <c r="H169">
        <f t="shared" si="2"/>
        <v>32.28</v>
      </c>
    </row>
    <row r="170" spans="1:8" x14ac:dyDescent="0.3">
      <c r="A170">
        <v>169</v>
      </c>
      <c r="B170">
        <v>50</v>
      </c>
      <c r="C170">
        <v>104</v>
      </c>
      <c r="D170" s="6">
        <v>42238</v>
      </c>
      <c r="E170" t="str">
        <f>VLOOKUP(B170,[1]pivottables!$F$2:$G$52,2,0)</f>
        <v>NLD</v>
      </c>
      <c r="F170">
        <v>3</v>
      </c>
      <c r="G170">
        <f>VLOOKUP(C170,[1]products!$B$2:$E$27,4,0)</f>
        <v>122.18</v>
      </c>
      <c r="H170">
        <f t="shared" si="2"/>
        <v>366.54</v>
      </c>
    </row>
    <row r="171" spans="1:8" x14ac:dyDescent="0.3">
      <c r="A171">
        <v>170</v>
      </c>
      <c r="B171">
        <v>12</v>
      </c>
      <c r="C171">
        <v>106</v>
      </c>
      <c r="D171" s="6">
        <v>42721</v>
      </c>
      <c r="E171" t="str">
        <f>VLOOKUP(B171,[1]pivottables!$F$2:$G$52,2,0)</f>
        <v>FRA</v>
      </c>
      <c r="F171">
        <v>3</v>
      </c>
      <c r="G171">
        <f>VLOOKUP(C171,[1]products!$B$2:$E$27,4,0)</f>
        <v>132.88</v>
      </c>
      <c r="H171">
        <f t="shared" si="2"/>
        <v>398.64</v>
      </c>
    </row>
    <row r="172" spans="1:8" x14ac:dyDescent="0.3">
      <c r="A172">
        <v>171</v>
      </c>
      <c r="B172">
        <v>6</v>
      </c>
      <c r="C172">
        <v>123</v>
      </c>
      <c r="D172" s="6">
        <v>42043</v>
      </c>
      <c r="E172" t="str">
        <f>VLOOKUP(B172,[1]pivottables!$F$2:$G$52,2,0)</f>
        <v>CAN</v>
      </c>
      <c r="F172">
        <v>5</v>
      </c>
      <c r="G172">
        <f>VLOOKUP(C172,[1]products!$B$2:$E$27,4,0)</f>
        <v>39.67</v>
      </c>
      <c r="H172">
        <f t="shared" si="2"/>
        <v>198.35000000000002</v>
      </c>
    </row>
    <row r="173" spans="1:8" x14ac:dyDescent="0.3">
      <c r="A173">
        <v>172</v>
      </c>
      <c r="B173">
        <v>45</v>
      </c>
      <c r="C173">
        <v>114</v>
      </c>
      <c r="D173" s="6">
        <v>42428</v>
      </c>
      <c r="E173" t="str">
        <f>VLOOKUP(B173,[1]pivottables!$F$2:$G$52,2,0)</f>
        <v>NLD</v>
      </c>
      <c r="F173">
        <v>2</v>
      </c>
      <c r="G173">
        <f>VLOOKUP(C173,[1]products!$B$2:$E$27,4,0)</f>
        <v>74.38</v>
      </c>
      <c r="H173">
        <f t="shared" si="2"/>
        <v>148.76</v>
      </c>
    </row>
    <row r="174" spans="1:8" x14ac:dyDescent="0.3">
      <c r="A174">
        <v>173</v>
      </c>
      <c r="B174">
        <v>21</v>
      </c>
      <c r="C174">
        <v>114</v>
      </c>
      <c r="D174" s="6">
        <v>42025</v>
      </c>
      <c r="E174" t="str">
        <f>VLOOKUP(B174,[1]pivottables!$F$2:$G$52,2,0)</f>
        <v>HUN</v>
      </c>
      <c r="F174">
        <v>4</v>
      </c>
      <c r="G174">
        <f>VLOOKUP(C174,[1]products!$B$2:$E$27,4,0)</f>
        <v>74.38</v>
      </c>
      <c r="H174">
        <f t="shared" si="2"/>
        <v>297.52</v>
      </c>
    </row>
    <row r="175" spans="1:8" x14ac:dyDescent="0.3">
      <c r="A175">
        <v>174</v>
      </c>
      <c r="B175">
        <v>36</v>
      </c>
      <c r="C175">
        <v>118</v>
      </c>
      <c r="D175" s="6">
        <v>42946</v>
      </c>
      <c r="E175" t="str">
        <f>VLOOKUP(B175,[1]pivottables!$F$2:$G$52,2,0)</f>
        <v>FRA</v>
      </c>
      <c r="F175">
        <v>4</v>
      </c>
      <c r="G175">
        <f>VLOOKUP(C175,[1]products!$B$2:$E$27,4,0)</f>
        <v>56.48</v>
      </c>
      <c r="H175">
        <f t="shared" si="2"/>
        <v>225.92</v>
      </c>
    </row>
    <row r="176" spans="1:8" x14ac:dyDescent="0.3">
      <c r="A176">
        <v>175</v>
      </c>
      <c r="B176">
        <v>38</v>
      </c>
      <c r="C176">
        <v>107</v>
      </c>
      <c r="D176" s="6">
        <v>42125</v>
      </c>
      <c r="E176" t="str">
        <f>VLOOKUP(B176,[1]pivottables!$F$2:$G$52,2,0)</f>
        <v>USA</v>
      </c>
      <c r="F176">
        <v>3</v>
      </c>
      <c r="G176">
        <f>VLOOKUP(C176,[1]products!$B$2:$E$27,4,0)</f>
        <v>43.1</v>
      </c>
      <c r="H176">
        <f t="shared" si="2"/>
        <v>129.30000000000001</v>
      </c>
    </row>
    <row r="177" spans="1:8" x14ac:dyDescent="0.3">
      <c r="A177">
        <v>176</v>
      </c>
      <c r="B177">
        <v>19</v>
      </c>
      <c r="C177">
        <v>101</v>
      </c>
      <c r="D177" s="6">
        <v>43090</v>
      </c>
      <c r="E177" t="str">
        <f>VLOOKUP(B177,[1]pivottables!$F$2:$G$52,2,0)</f>
        <v>NLD</v>
      </c>
      <c r="F177">
        <v>4</v>
      </c>
      <c r="G177">
        <f>VLOOKUP(C177,[1]products!$B$2:$E$27,4,0)</f>
        <v>108.61</v>
      </c>
      <c r="H177">
        <f t="shared" si="2"/>
        <v>434.44</v>
      </c>
    </row>
    <row r="178" spans="1:8" x14ac:dyDescent="0.3">
      <c r="A178">
        <v>177</v>
      </c>
      <c r="B178">
        <v>2</v>
      </c>
      <c r="C178">
        <v>122</v>
      </c>
      <c r="D178" s="6">
        <v>42725</v>
      </c>
      <c r="E178" t="str">
        <f>VLOOKUP(B178,[1]pivottables!$F$2:$G$52,2,0)</f>
        <v>CZE</v>
      </c>
      <c r="F178">
        <v>2</v>
      </c>
      <c r="G178">
        <f>VLOOKUP(C178,[1]products!$B$2:$E$27,4,0)</f>
        <v>32.64</v>
      </c>
      <c r="H178">
        <f t="shared" si="2"/>
        <v>65.28</v>
      </c>
    </row>
    <row r="179" spans="1:8" x14ac:dyDescent="0.3">
      <c r="A179">
        <v>178</v>
      </c>
      <c r="B179">
        <v>21</v>
      </c>
      <c r="C179">
        <v>119</v>
      </c>
      <c r="D179" s="6">
        <v>42378</v>
      </c>
      <c r="E179" t="str">
        <f>VLOOKUP(B179,[1]pivottables!$F$2:$G$52,2,0)</f>
        <v>HUN</v>
      </c>
      <c r="F179">
        <v>4</v>
      </c>
      <c r="G179">
        <f>VLOOKUP(C179,[1]products!$B$2:$E$27,4,0)</f>
        <v>74.55</v>
      </c>
      <c r="H179">
        <f t="shared" si="2"/>
        <v>298.2</v>
      </c>
    </row>
    <row r="180" spans="1:8" x14ac:dyDescent="0.3">
      <c r="A180">
        <v>179</v>
      </c>
      <c r="B180">
        <v>1</v>
      </c>
      <c r="C180">
        <v>125</v>
      </c>
      <c r="D180" s="6">
        <v>42354</v>
      </c>
      <c r="E180" t="str">
        <f>VLOOKUP(B180,[1]pivottables!$F$2:$G$52,2,0)</f>
        <v>FRA</v>
      </c>
      <c r="F180">
        <v>1</v>
      </c>
      <c r="G180">
        <f>VLOOKUP(C180,[1]products!$B$2:$E$27,4,0)</f>
        <v>90.44</v>
      </c>
      <c r="H180">
        <f t="shared" si="2"/>
        <v>90.44</v>
      </c>
    </row>
    <row r="181" spans="1:8" x14ac:dyDescent="0.3">
      <c r="A181">
        <v>180</v>
      </c>
      <c r="B181">
        <v>46</v>
      </c>
      <c r="C181">
        <v>108</v>
      </c>
      <c r="D181" s="6">
        <v>42773</v>
      </c>
      <c r="E181" t="str">
        <f>VLOOKUP(B181,[1]pivottables!$F$2:$G$52,2,0)</f>
        <v>JPN</v>
      </c>
      <c r="F181">
        <v>3</v>
      </c>
      <c r="G181">
        <f>VLOOKUP(C181,[1]products!$B$2:$E$27,4,0)</f>
        <v>137.97999999999999</v>
      </c>
      <c r="H181">
        <f t="shared" si="2"/>
        <v>413.93999999999994</v>
      </c>
    </row>
    <row r="182" spans="1:8" x14ac:dyDescent="0.3">
      <c r="A182">
        <v>181</v>
      </c>
      <c r="B182">
        <v>17</v>
      </c>
      <c r="C182">
        <v>109</v>
      </c>
      <c r="D182" s="6">
        <v>42286</v>
      </c>
      <c r="E182" t="str">
        <f>VLOOKUP(B182,[1]pivottables!$F$2:$G$52,2,0)</f>
        <v>CAN</v>
      </c>
      <c r="F182">
        <v>4</v>
      </c>
      <c r="G182">
        <f>VLOOKUP(C182,[1]products!$B$2:$E$27,4,0)</f>
        <v>143.97999999999999</v>
      </c>
      <c r="H182">
        <f t="shared" si="2"/>
        <v>575.91999999999996</v>
      </c>
    </row>
    <row r="183" spans="1:8" x14ac:dyDescent="0.3">
      <c r="A183">
        <v>182</v>
      </c>
      <c r="B183">
        <v>29</v>
      </c>
      <c r="C183">
        <v>110</v>
      </c>
      <c r="D183" s="6">
        <v>42096</v>
      </c>
      <c r="E183" t="str">
        <f>VLOOKUP(B183,[1]pivottables!$F$2:$G$52,2,0)</f>
        <v>FRA</v>
      </c>
      <c r="F183">
        <v>1</v>
      </c>
      <c r="G183">
        <f>VLOOKUP(C183,[1]products!$B$2:$E$27,4,0)</f>
        <v>10.76</v>
      </c>
      <c r="H183">
        <f t="shared" si="2"/>
        <v>10.76</v>
      </c>
    </row>
    <row r="184" spans="1:8" x14ac:dyDescent="0.3">
      <c r="A184">
        <v>183</v>
      </c>
      <c r="B184">
        <v>16</v>
      </c>
      <c r="C184">
        <v>118</v>
      </c>
      <c r="D184" s="6">
        <v>42811</v>
      </c>
      <c r="E184" t="str">
        <f>VLOOKUP(B184,[1]pivottables!$F$2:$G$52,2,0)</f>
        <v>JPN</v>
      </c>
      <c r="F184">
        <v>5</v>
      </c>
      <c r="G184">
        <f>VLOOKUP(C184,[1]products!$B$2:$E$27,4,0)</f>
        <v>56.48</v>
      </c>
      <c r="H184">
        <f t="shared" si="2"/>
        <v>282.39999999999998</v>
      </c>
    </row>
    <row r="185" spans="1:8" x14ac:dyDescent="0.3">
      <c r="A185">
        <v>184</v>
      </c>
      <c r="B185">
        <v>3</v>
      </c>
      <c r="C185">
        <v>115</v>
      </c>
      <c r="D185" s="6">
        <v>42570</v>
      </c>
      <c r="E185" t="str">
        <f>VLOOKUP(B185,[1]pivottables!$F$2:$G$52,2,0)</f>
        <v>NLD</v>
      </c>
      <c r="F185">
        <v>4</v>
      </c>
      <c r="G185">
        <f>VLOOKUP(C185,[1]products!$B$2:$E$27,4,0)</f>
        <v>22.55</v>
      </c>
      <c r="H185">
        <f t="shared" si="2"/>
        <v>90.2</v>
      </c>
    </row>
    <row r="186" spans="1:8" x14ac:dyDescent="0.3">
      <c r="A186">
        <v>185</v>
      </c>
      <c r="B186">
        <v>8</v>
      </c>
      <c r="C186">
        <v>110</v>
      </c>
      <c r="D186" s="6">
        <v>42634</v>
      </c>
      <c r="E186" t="str">
        <f>VLOOKUP(B186,[1]pivottables!$F$2:$G$52,2,0)</f>
        <v>CZE</v>
      </c>
      <c r="F186">
        <v>5</v>
      </c>
      <c r="G186">
        <f>VLOOKUP(C186,[1]products!$B$2:$E$27,4,0)</f>
        <v>10.76</v>
      </c>
      <c r="H186">
        <f t="shared" si="2"/>
        <v>53.8</v>
      </c>
    </row>
    <row r="187" spans="1:8" x14ac:dyDescent="0.3">
      <c r="A187">
        <v>186</v>
      </c>
      <c r="B187">
        <v>42</v>
      </c>
      <c r="C187">
        <v>106</v>
      </c>
      <c r="D187" s="6">
        <v>42171</v>
      </c>
      <c r="E187" t="str">
        <f>VLOOKUP(B187,[1]pivottables!$F$2:$G$52,2,0)</f>
        <v>HUN</v>
      </c>
      <c r="F187">
        <v>4</v>
      </c>
      <c r="G187">
        <f>VLOOKUP(C187,[1]products!$B$2:$E$27,4,0)</f>
        <v>132.88</v>
      </c>
      <c r="H187">
        <f t="shared" si="2"/>
        <v>531.52</v>
      </c>
    </row>
    <row r="188" spans="1:8" x14ac:dyDescent="0.3">
      <c r="A188">
        <v>187</v>
      </c>
      <c r="B188">
        <v>4</v>
      </c>
      <c r="C188">
        <v>111</v>
      </c>
      <c r="D188" s="6">
        <v>42724</v>
      </c>
      <c r="E188" t="str">
        <f>VLOOKUP(B188,[1]pivottables!$F$2:$G$52,2,0)</f>
        <v>ITA</v>
      </c>
      <c r="F188">
        <v>5</v>
      </c>
      <c r="G188">
        <f>VLOOKUP(C188,[1]products!$B$2:$E$27,4,0)</f>
        <v>149.93</v>
      </c>
      <c r="H188">
        <f t="shared" si="2"/>
        <v>749.65000000000009</v>
      </c>
    </row>
    <row r="189" spans="1:8" x14ac:dyDescent="0.3">
      <c r="A189">
        <v>188</v>
      </c>
      <c r="B189">
        <v>35</v>
      </c>
      <c r="C189">
        <v>118</v>
      </c>
      <c r="D189" s="6">
        <v>42488</v>
      </c>
      <c r="E189" t="str">
        <f>VLOOKUP(B189,[1]pivottables!$F$2:$G$52,2,0)</f>
        <v>JPN</v>
      </c>
      <c r="F189">
        <v>1</v>
      </c>
      <c r="G189">
        <f>VLOOKUP(C189,[1]products!$B$2:$E$27,4,0)</f>
        <v>56.48</v>
      </c>
      <c r="H189">
        <f t="shared" si="2"/>
        <v>56.48</v>
      </c>
    </row>
    <row r="190" spans="1:8" x14ac:dyDescent="0.3">
      <c r="A190">
        <v>189</v>
      </c>
      <c r="B190">
        <v>24</v>
      </c>
      <c r="C190">
        <v>112</v>
      </c>
      <c r="D190" s="6">
        <v>42857</v>
      </c>
      <c r="E190" t="str">
        <f>VLOOKUP(B190,[1]pivottables!$F$2:$G$52,2,0)</f>
        <v>NLD</v>
      </c>
      <c r="F190">
        <v>5</v>
      </c>
      <c r="G190">
        <f>VLOOKUP(C190,[1]products!$B$2:$E$27,4,0)</f>
        <v>106.3</v>
      </c>
      <c r="H190">
        <f t="shared" si="2"/>
        <v>531.5</v>
      </c>
    </row>
    <row r="191" spans="1:8" x14ac:dyDescent="0.3">
      <c r="A191">
        <v>190</v>
      </c>
      <c r="B191">
        <v>25</v>
      </c>
      <c r="C191">
        <v>105</v>
      </c>
      <c r="D191" s="6">
        <v>42129</v>
      </c>
      <c r="E191" t="str">
        <f>VLOOKUP(B191,[1]pivottables!$F$2:$G$52,2,0)</f>
        <v>CHN</v>
      </c>
      <c r="F191">
        <v>5</v>
      </c>
      <c r="G191">
        <f>VLOOKUP(C191,[1]products!$B$2:$E$27,4,0)</f>
        <v>149.93</v>
      </c>
      <c r="H191">
        <f t="shared" si="2"/>
        <v>749.65000000000009</v>
      </c>
    </row>
    <row r="192" spans="1:8" x14ac:dyDescent="0.3">
      <c r="A192">
        <v>191</v>
      </c>
      <c r="B192">
        <v>7</v>
      </c>
      <c r="C192">
        <v>122</v>
      </c>
      <c r="D192" s="6">
        <v>42928</v>
      </c>
      <c r="E192" t="str">
        <f>VLOOKUP(B192,[1]pivottables!$F$2:$G$52,2,0)</f>
        <v>CAN</v>
      </c>
      <c r="F192">
        <v>4</v>
      </c>
      <c r="G192">
        <f>VLOOKUP(C192,[1]products!$B$2:$E$27,4,0)</f>
        <v>32.64</v>
      </c>
      <c r="H192">
        <f t="shared" si="2"/>
        <v>130.56</v>
      </c>
    </row>
    <row r="193" spans="1:8" x14ac:dyDescent="0.3">
      <c r="A193">
        <v>192</v>
      </c>
      <c r="B193">
        <v>1</v>
      </c>
      <c r="C193">
        <v>110</v>
      </c>
      <c r="D193" s="6">
        <v>42245</v>
      </c>
      <c r="E193" t="str">
        <f>VLOOKUP(B193,[1]pivottables!$F$2:$G$52,2,0)</f>
        <v>FRA</v>
      </c>
      <c r="F193">
        <v>1</v>
      </c>
      <c r="G193">
        <f>VLOOKUP(C193,[1]products!$B$2:$E$27,4,0)</f>
        <v>10.76</v>
      </c>
      <c r="H193">
        <f t="shared" si="2"/>
        <v>10.76</v>
      </c>
    </row>
    <row r="194" spans="1:8" x14ac:dyDescent="0.3">
      <c r="A194">
        <v>193</v>
      </c>
      <c r="B194">
        <v>10</v>
      </c>
      <c r="C194">
        <v>101</v>
      </c>
      <c r="D194" s="6">
        <v>43009</v>
      </c>
      <c r="E194" t="str">
        <f>VLOOKUP(B194,[1]pivottables!$F$2:$G$52,2,0)</f>
        <v>NLD</v>
      </c>
      <c r="F194">
        <v>4</v>
      </c>
      <c r="G194">
        <f>VLOOKUP(C194,[1]products!$B$2:$E$27,4,0)</f>
        <v>108.61</v>
      </c>
      <c r="H194">
        <f t="shared" si="2"/>
        <v>434.44</v>
      </c>
    </row>
    <row r="195" spans="1:8" x14ac:dyDescent="0.3">
      <c r="A195">
        <v>194</v>
      </c>
      <c r="B195">
        <v>39</v>
      </c>
      <c r="C195">
        <v>111</v>
      </c>
      <c r="D195" s="6">
        <v>42998</v>
      </c>
      <c r="E195" t="str">
        <f>VLOOKUP(B195,[1]pivottables!$F$2:$G$52,2,0)</f>
        <v>GBR</v>
      </c>
      <c r="F195">
        <v>4</v>
      </c>
      <c r="G195">
        <f>VLOOKUP(C195,[1]products!$B$2:$E$27,4,0)</f>
        <v>149.93</v>
      </c>
      <c r="H195">
        <f t="shared" ref="H195:H258" si="3">G195*F195</f>
        <v>599.72</v>
      </c>
    </row>
    <row r="196" spans="1:8" x14ac:dyDescent="0.3">
      <c r="A196">
        <v>195</v>
      </c>
      <c r="B196">
        <v>25</v>
      </c>
      <c r="C196">
        <v>111</v>
      </c>
      <c r="D196" s="6">
        <v>43068</v>
      </c>
      <c r="E196" t="str">
        <f>VLOOKUP(B196,[1]pivottables!$F$2:$G$52,2,0)</f>
        <v>CHN</v>
      </c>
      <c r="F196">
        <v>2</v>
      </c>
      <c r="G196">
        <f>VLOOKUP(C196,[1]products!$B$2:$E$27,4,0)</f>
        <v>149.93</v>
      </c>
      <c r="H196">
        <f t="shared" si="3"/>
        <v>299.86</v>
      </c>
    </row>
    <row r="197" spans="1:8" x14ac:dyDescent="0.3">
      <c r="A197">
        <v>196</v>
      </c>
      <c r="B197">
        <v>13</v>
      </c>
      <c r="C197">
        <v>100</v>
      </c>
      <c r="D197" s="6">
        <v>42838</v>
      </c>
      <c r="E197" t="str">
        <f>VLOOKUP(B197,[1]pivottables!$F$2:$G$52,2,0)</f>
        <v>GBR</v>
      </c>
      <c r="F197">
        <v>4</v>
      </c>
      <c r="G197">
        <f>VLOOKUP(C197,[1]products!$B$2:$E$27,4,0)</f>
        <v>30.29</v>
      </c>
      <c r="H197">
        <f t="shared" si="3"/>
        <v>121.16</v>
      </c>
    </row>
    <row r="198" spans="1:8" x14ac:dyDescent="0.3">
      <c r="A198">
        <v>197</v>
      </c>
      <c r="B198">
        <v>11</v>
      </c>
      <c r="C198">
        <v>122</v>
      </c>
      <c r="D198" s="6">
        <v>42099</v>
      </c>
      <c r="E198" t="str">
        <f>VLOOKUP(B198,[1]pivottables!$F$2:$G$52,2,0)</f>
        <v>ITA</v>
      </c>
      <c r="F198">
        <v>3</v>
      </c>
      <c r="G198">
        <f>VLOOKUP(C198,[1]products!$B$2:$E$27,4,0)</f>
        <v>32.64</v>
      </c>
      <c r="H198">
        <f t="shared" si="3"/>
        <v>97.92</v>
      </c>
    </row>
    <row r="199" spans="1:8" x14ac:dyDescent="0.3">
      <c r="A199">
        <v>198</v>
      </c>
      <c r="B199">
        <v>46</v>
      </c>
      <c r="C199">
        <v>121</v>
      </c>
      <c r="D199" s="6">
        <v>42084</v>
      </c>
      <c r="E199" t="str">
        <f>VLOOKUP(B199,[1]pivottables!$F$2:$G$52,2,0)</f>
        <v>JPN</v>
      </c>
      <c r="F199">
        <v>5</v>
      </c>
      <c r="G199">
        <f>VLOOKUP(C199,[1]products!$B$2:$E$27,4,0)</f>
        <v>49.09</v>
      </c>
      <c r="H199">
        <f t="shared" si="3"/>
        <v>245.45000000000002</v>
      </c>
    </row>
    <row r="200" spans="1:8" x14ac:dyDescent="0.3">
      <c r="A200">
        <v>199</v>
      </c>
      <c r="B200">
        <v>1</v>
      </c>
      <c r="C200">
        <v>120</v>
      </c>
      <c r="D200" s="6">
        <v>42531</v>
      </c>
      <c r="E200" t="str">
        <f>VLOOKUP(B200,[1]pivottables!$F$2:$G$52,2,0)</f>
        <v>FRA</v>
      </c>
      <c r="F200">
        <v>4</v>
      </c>
      <c r="G200">
        <f>VLOOKUP(C200,[1]products!$B$2:$E$27,4,0)</f>
        <v>17.13</v>
      </c>
      <c r="H200">
        <f t="shared" si="3"/>
        <v>68.52</v>
      </c>
    </row>
    <row r="201" spans="1:8" x14ac:dyDescent="0.3">
      <c r="A201">
        <v>200</v>
      </c>
      <c r="B201">
        <v>17</v>
      </c>
      <c r="C201">
        <v>107</v>
      </c>
      <c r="D201" s="6">
        <v>42444</v>
      </c>
      <c r="E201" t="str">
        <f>VLOOKUP(B201,[1]pivottables!$F$2:$G$52,2,0)</f>
        <v>CAN</v>
      </c>
      <c r="F201">
        <v>5</v>
      </c>
      <c r="G201">
        <f>VLOOKUP(C201,[1]products!$B$2:$E$27,4,0)</f>
        <v>43.1</v>
      </c>
      <c r="H201">
        <f t="shared" si="3"/>
        <v>215.5</v>
      </c>
    </row>
    <row r="202" spans="1:8" x14ac:dyDescent="0.3">
      <c r="A202">
        <v>201</v>
      </c>
      <c r="B202">
        <v>41</v>
      </c>
      <c r="C202">
        <v>106</v>
      </c>
      <c r="D202" s="6">
        <v>42041</v>
      </c>
      <c r="E202" t="str">
        <f>VLOOKUP(B202,[1]pivottables!$F$2:$G$52,2,0)</f>
        <v>FRA</v>
      </c>
      <c r="F202">
        <v>4</v>
      </c>
      <c r="G202">
        <f>VLOOKUP(C202,[1]products!$B$2:$E$27,4,0)</f>
        <v>132.88</v>
      </c>
      <c r="H202">
        <f t="shared" si="3"/>
        <v>531.52</v>
      </c>
    </row>
    <row r="203" spans="1:8" x14ac:dyDescent="0.3">
      <c r="A203">
        <v>202</v>
      </c>
      <c r="B203">
        <v>23</v>
      </c>
      <c r="C203">
        <v>113</v>
      </c>
      <c r="D203" s="6">
        <v>42170</v>
      </c>
      <c r="E203" t="str">
        <f>VLOOKUP(B203,[1]pivottables!$F$2:$G$52,2,0)</f>
        <v>GBR</v>
      </c>
      <c r="F203">
        <v>1</v>
      </c>
      <c r="G203">
        <f>VLOOKUP(C203,[1]products!$B$2:$E$27,4,0)</f>
        <v>9.89</v>
      </c>
      <c r="H203">
        <f t="shared" si="3"/>
        <v>9.89</v>
      </c>
    </row>
    <row r="204" spans="1:8" x14ac:dyDescent="0.3">
      <c r="A204">
        <v>203</v>
      </c>
      <c r="B204">
        <v>27</v>
      </c>
      <c r="C204">
        <v>107</v>
      </c>
      <c r="D204" s="6">
        <v>42320</v>
      </c>
      <c r="E204" t="str">
        <f>VLOOKUP(B204,[1]pivottables!$F$2:$G$52,2,0)</f>
        <v>ITA</v>
      </c>
      <c r="F204">
        <v>1</v>
      </c>
      <c r="G204">
        <f>VLOOKUP(C204,[1]products!$B$2:$E$27,4,0)</f>
        <v>43.1</v>
      </c>
      <c r="H204">
        <f t="shared" si="3"/>
        <v>43.1</v>
      </c>
    </row>
    <row r="205" spans="1:8" x14ac:dyDescent="0.3">
      <c r="A205">
        <v>204</v>
      </c>
      <c r="B205">
        <v>46</v>
      </c>
      <c r="C205">
        <v>108</v>
      </c>
      <c r="D205" s="6">
        <v>42282</v>
      </c>
      <c r="E205" t="str">
        <f>VLOOKUP(B205,[1]pivottables!$F$2:$G$52,2,0)</f>
        <v>JPN</v>
      </c>
      <c r="F205">
        <v>2</v>
      </c>
      <c r="G205">
        <f>VLOOKUP(C205,[1]products!$B$2:$E$27,4,0)</f>
        <v>137.97999999999999</v>
      </c>
      <c r="H205">
        <f t="shared" si="3"/>
        <v>275.95999999999998</v>
      </c>
    </row>
    <row r="206" spans="1:8" x14ac:dyDescent="0.3">
      <c r="A206">
        <v>205</v>
      </c>
      <c r="B206">
        <v>34</v>
      </c>
      <c r="C206">
        <v>117</v>
      </c>
      <c r="D206" s="6">
        <v>42168</v>
      </c>
      <c r="E206" t="str">
        <f>VLOOKUP(B206,[1]pivottables!$F$2:$G$52,2,0)</f>
        <v>CAN</v>
      </c>
      <c r="F206">
        <v>5</v>
      </c>
      <c r="G206">
        <f>VLOOKUP(C206,[1]products!$B$2:$E$27,4,0)</f>
        <v>47.38</v>
      </c>
      <c r="H206">
        <f t="shared" si="3"/>
        <v>236.9</v>
      </c>
    </row>
    <row r="207" spans="1:8" x14ac:dyDescent="0.3">
      <c r="A207">
        <v>206</v>
      </c>
      <c r="B207">
        <v>6</v>
      </c>
      <c r="C207">
        <v>115</v>
      </c>
      <c r="D207" s="6">
        <v>42402</v>
      </c>
      <c r="E207" t="str">
        <f>VLOOKUP(B207,[1]pivottables!$F$2:$G$52,2,0)</f>
        <v>CAN</v>
      </c>
      <c r="F207">
        <v>5</v>
      </c>
      <c r="G207">
        <f>VLOOKUP(C207,[1]products!$B$2:$E$27,4,0)</f>
        <v>22.55</v>
      </c>
      <c r="H207">
        <f t="shared" si="3"/>
        <v>112.75</v>
      </c>
    </row>
    <row r="208" spans="1:8" x14ac:dyDescent="0.3">
      <c r="A208">
        <v>207</v>
      </c>
      <c r="B208">
        <v>20</v>
      </c>
      <c r="C208">
        <v>115</v>
      </c>
      <c r="D208" s="6">
        <v>43058</v>
      </c>
      <c r="E208" t="str">
        <f>VLOOKUP(B208,[1]pivottables!$F$2:$G$52,2,0)</f>
        <v>FRA</v>
      </c>
      <c r="F208">
        <v>5</v>
      </c>
      <c r="G208">
        <f>VLOOKUP(C208,[1]products!$B$2:$E$27,4,0)</f>
        <v>22.55</v>
      </c>
      <c r="H208">
        <f t="shared" si="3"/>
        <v>112.75</v>
      </c>
    </row>
    <row r="209" spans="1:8" x14ac:dyDescent="0.3">
      <c r="A209">
        <v>208</v>
      </c>
      <c r="B209">
        <v>32</v>
      </c>
      <c r="C209">
        <v>106</v>
      </c>
      <c r="D209" s="6">
        <v>42903</v>
      </c>
      <c r="E209" t="str">
        <f>VLOOKUP(B209,[1]pivottables!$F$2:$G$52,2,0)</f>
        <v>NLD</v>
      </c>
      <c r="F209">
        <v>1</v>
      </c>
      <c r="G209">
        <f>VLOOKUP(C209,[1]products!$B$2:$E$27,4,0)</f>
        <v>132.88</v>
      </c>
      <c r="H209">
        <f t="shared" si="3"/>
        <v>132.88</v>
      </c>
    </row>
    <row r="210" spans="1:8" x14ac:dyDescent="0.3">
      <c r="A210">
        <v>209</v>
      </c>
      <c r="B210">
        <v>6</v>
      </c>
      <c r="C210">
        <v>123</v>
      </c>
      <c r="D210" s="6">
        <v>42014</v>
      </c>
      <c r="E210" t="str">
        <f>VLOOKUP(B210,[1]pivottables!$F$2:$G$52,2,0)</f>
        <v>CAN</v>
      </c>
      <c r="F210">
        <v>5</v>
      </c>
      <c r="G210">
        <f>VLOOKUP(C210,[1]products!$B$2:$E$27,4,0)</f>
        <v>39.67</v>
      </c>
      <c r="H210">
        <f t="shared" si="3"/>
        <v>198.35000000000002</v>
      </c>
    </row>
    <row r="211" spans="1:8" x14ac:dyDescent="0.3">
      <c r="A211">
        <v>210</v>
      </c>
      <c r="B211">
        <v>6</v>
      </c>
      <c r="C211">
        <v>122</v>
      </c>
      <c r="D211" s="6">
        <v>42043</v>
      </c>
      <c r="E211" t="str">
        <f>VLOOKUP(B211,[1]pivottables!$F$2:$G$52,2,0)</f>
        <v>CAN</v>
      </c>
      <c r="F211">
        <v>2</v>
      </c>
      <c r="G211">
        <f>VLOOKUP(C211,[1]products!$B$2:$E$27,4,0)</f>
        <v>32.64</v>
      </c>
      <c r="H211">
        <f t="shared" si="3"/>
        <v>65.28</v>
      </c>
    </row>
    <row r="212" spans="1:8" x14ac:dyDescent="0.3">
      <c r="A212">
        <v>211</v>
      </c>
      <c r="B212">
        <v>12</v>
      </c>
      <c r="C212">
        <v>102</v>
      </c>
      <c r="D212" s="6">
        <v>42576</v>
      </c>
      <c r="E212" t="str">
        <f>VLOOKUP(B212,[1]pivottables!$F$2:$G$52,2,0)</f>
        <v>FRA</v>
      </c>
      <c r="F212">
        <v>2</v>
      </c>
      <c r="G212">
        <f>VLOOKUP(C212,[1]products!$B$2:$E$27,4,0)</f>
        <v>14.94</v>
      </c>
      <c r="H212">
        <f t="shared" si="3"/>
        <v>29.88</v>
      </c>
    </row>
    <row r="213" spans="1:8" x14ac:dyDescent="0.3">
      <c r="A213">
        <v>212</v>
      </c>
      <c r="B213">
        <v>44</v>
      </c>
      <c r="C213">
        <v>118</v>
      </c>
      <c r="D213" s="6">
        <v>42100</v>
      </c>
      <c r="E213" t="str">
        <f>VLOOKUP(B213,[1]pivottables!$F$2:$G$52,2,0)</f>
        <v>CHN</v>
      </c>
      <c r="F213">
        <v>2</v>
      </c>
      <c r="G213">
        <f>VLOOKUP(C213,[1]products!$B$2:$E$27,4,0)</f>
        <v>56.48</v>
      </c>
      <c r="H213">
        <f t="shared" si="3"/>
        <v>112.96</v>
      </c>
    </row>
    <row r="214" spans="1:8" x14ac:dyDescent="0.3">
      <c r="A214">
        <v>213</v>
      </c>
      <c r="B214">
        <v>37</v>
      </c>
      <c r="C214">
        <v>115</v>
      </c>
      <c r="D214" s="6">
        <v>43076</v>
      </c>
      <c r="E214" t="str">
        <f>VLOOKUP(B214,[1]pivottables!$F$2:$G$52,2,0)</f>
        <v>GBR</v>
      </c>
      <c r="F214">
        <v>5</v>
      </c>
      <c r="G214">
        <f>VLOOKUP(C214,[1]products!$B$2:$E$27,4,0)</f>
        <v>22.55</v>
      </c>
      <c r="H214">
        <f t="shared" si="3"/>
        <v>112.75</v>
      </c>
    </row>
    <row r="215" spans="1:8" x14ac:dyDescent="0.3">
      <c r="A215">
        <v>214</v>
      </c>
      <c r="B215">
        <v>30</v>
      </c>
      <c r="C215">
        <v>114</v>
      </c>
      <c r="D215" s="6">
        <v>42267</v>
      </c>
      <c r="E215" t="str">
        <f>VLOOKUP(B215,[1]pivottables!$F$2:$G$52,2,0)</f>
        <v>FRA</v>
      </c>
      <c r="F215">
        <v>2</v>
      </c>
      <c r="G215">
        <f>VLOOKUP(C215,[1]products!$B$2:$E$27,4,0)</f>
        <v>74.38</v>
      </c>
      <c r="H215">
        <f t="shared" si="3"/>
        <v>148.76</v>
      </c>
    </row>
    <row r="216" spans="1:8" x14ac:dyDescent="0.3">
      <c r="A216">
        <v>215</v>
      </c>
      <c r="B216">
        <v>43</v>
      </c>
      <c r="C216">
        <v>101</v>
      </c>
      <c r="D216" s="6">
        <v>42664</v>
      </c>
      <c r="E216" t="str">
        <f>VLOOKUP(B216,[1]pivottables!$F$2:$G$52,2,0)</f>
        <v>FRA</v>
      </c>
      <c r="F216">
        <v>1</v>
      </c>
      <c r="G216">
        <f>VLOOKUP(C216,[1]products!$B$2:$E$27,4,0)</f>
        <v>108.61</v>
      </c>
      <c r="H216">
        <f t="shared" si="3"/>
        <v>108.61</v>
      </c>
    </row>
    <row r="217" spans="1:8" x14ac:dyDescent="0.3">
      <c r="A217">
        <v>216</v>
      </c>
      <c r="B217">
        <v>22</v>
      </c>
      <c r="C217">
        <v>113</v>
      </c>
      <c r="D217" s="6">
        <v>42853</v>
      </c>
      <c r="E217" t="str">
        <f>VLOOKUP(B217,[1]pivottables!$F$2:$G$52,2,0)</f>
        <v>FRA</v>
      </c>
      <c r="F217">
        <v>1</v>
      </c>
      <c r="G217">
        <f>VLOOKUP(C217,[1]products!$B$2:$E$27,4,0)</f>
        <v>9.89</v>
      </c>
      <c r="H217">
        <f t="shared" si="3"/>
        <v>9.89</v>
      </c>
    </row>
    <row r="218" spans="1:8" x14ac:dyDescent="0.3">
      <c r="A218">
        <v>217</v>
      </c>
      <c r="B218">
        <v>4</v>
      </c>
      <c r="C218">
        <v>108</v>
      </c>
      <c r="D218" s="6">
        <v>42566</v>
      </c>
      <c r="E218" t="str">
        <f>VLOOKUP(B218,[1]pivottables!$F$2:$G$52,2,0)</f>
        <v>ITA</v>
      </c>
      <c r="F218">
        <v>4</v>
      </c>
      <c r="G218">
        <f>VLOOKUP(C218,[1]products!$B$2:$E$27,4,0)</f>
        <v>137.97999999999999</v>
      </c>
      <c r="H218">
        <f t="shared" si="3"/>
        <v>551.91999999999996</v>
      </c>
    </row>
    <row r="219" spans="1:8" x14ac:dyDescent="0.3">
      <c r="A219">
        <v>218</v>
      </c>
      <c r="B219">
        <v>30</v>
      </c>
      <c r="C219">
        <v>105</v>
      </c>
      <c r="D219" s="6">
        <v>42621</v>
      </c>
      <c r="E219" t="str">
        <f>VLOOKUP(B219,[1]pivottables!$F$2:$G$52,2,0)</f>
        <v>FRA</v>
      </c>
      <c r="F219">
        <v>2</v>
      </c>
      <c r="G219">
        <f>VLOOKUP(C219,[1]products!$B$2:$E$27,4,0)</f>
        <v>149.93</v>
      </c>
      <c r="H219">
        <f t="shared" si="3"/>
        <v>299.86</v>
      </c>
    </row>
    <row r="220" spans="1:8" x14ac:dyDescent="0.3">
      <c r="A220">
        <v>219</v>
      </c>
      <c r="B220">
        <v>17</v>
      </c>
      <c r="C220">
        <v>103</v>
      </c>
      <c r="D220" s="6">
        <v>43089</v>
      </c>
      <c r="E220" t="str">
        <f>VLOOKUP(B220,[1]pivottables!$F$2:$G$52,2,0)</f>
        <v>CAN</v>
      </c>
      <c r="F220">
        <v>3</v>
      </c>
      <c r="G220">
        <f>VLOOKUP(C220,[1]products!$B$2:$E$27,4,0)</f>
        <v>108.96</v>
      </c>
      <c r="H220">
        <f t="shared" si="3"/>
        <v>326.88</v>
      </c>
    </row>
    <row r="221" spans="1:8" x14ac:dyDescent="0.3">
      <c r="A221">
        <v>220</v>
      </c>
      <c r="B221">
        <v>15</v>
      </c>
      <c r="C221">
        <v>125</v>
      </c>
      <c r="D221" s="6">
        <v>42907</v>
      </c>
      <c r="E221" t="str">
        <f>VLOOKUP(B221,[1]pivottables!$F$2:$G$52,2,0)</f>
        <v>HUN</v>
      </c>
      <c r="F221">
        <v>2</v>
      </c>
      <c r="G221">
        <f>VLOOKUP(C221,[1]products!$B$2:$E$27,4,0)</f>
        <v>90.44</v>
      </c>
      <c r="H221">
        <f t="shared" si="3"/>
        <v>180.88</v>
      </c>
    </row>
    <row r="222" spans="1:8" x14ac:dyDescent="0.3">
      <c r="A222">
        <v>221</v>
      </c>
      <c r="B222">
        <v>3</v>
      </c>
      <c r="C222">
        <v>100</v>
      </c>
      <c r="D222" s="6">
        <v>42353</v>
      </c>
      <c r="E222" t="str">
        <f>VLOOKUP(B222,[1]pivottables!$F$2:$G$52,2,0)</f>
        <v>NLD</v>
      </c>
      <c r="F222">
        <v>1</v>
      </c>
      <c r="G222">
        <f>VLOOKUP(C222,[1]products!$B$2:$E$27,4,0)</f>
        <v>30.29</v>
      </c>
      <c r="H222">
        <f t="shared" si="3"/>
        <v>30.29</v>
      </c>
    </row>
    <row r="223" spans="1:8" x14ac:dyDescent="0.3">
      <c r="A223">
        <v>222</v>
      </c>
      <c r="B223">
        <v>17</v>
      </c>
      <c r="C223">
        <v>111</v>
      </c>
      <c r="D223" s="6">
        <v>42038</v>
      </c>
      <c r="E223" t="str">
        <f>VLOOKUP(B223,[1]pivottables!$F$2:$G$52,2,0)</f>
        <v>CAN</v>
      </c>
      <c r="F223">
        <v>1</v>
      </c>
      <c r="G223">
        <f>VLOOKUP(C223,[1]products!$B$2:$E$27,4,0)</f>
        <v>149.93</v>
      </c>
      <c r="H223">
        <f t="shared" si="3"/>
        <v>149.93</v>
      </c>
    </row>
    <row r="224" spans="1:8" x14ac:dyDescent="0.3">
      <c r="A224">
        <v>223</v>
      </c>
      <c r="B224">
        <v>1</v>
      </c>
      <c r="C224">
        <v>125</v>
      </c>
      <c r="D224" s="6">
        <v>43058</v>
      </c>
      <c r="E224" t="str">
        <f>VLOOKUP(B224,[1]pivottables!$F$2:$G$52,2,0)</f>
        <v>FRA</v>
      </c>
      <c r="F224">
        <v>3</v>
      </c>
      <c r="G224">
        <f>VLOOKUP(C224,[1]products!$B$2:$E$27,4,0)</f>
        <v>90.44</v>
      </c>
      <c r="H224">
        <f t="shared" si="3"/>
        <v>271.32</v>
      </c>
    </row>
    <row r="225" spans="1:8" x14ac:dyDescent="0.3">
      <c r="A225">
        <v>224</v>
      </c>
      <c r="B225">
        <v>27</v>
      </c>
      <c r="C225">
        <v>119</v>
      </c>
      <c r="D225" s="6">
        <v>43048</v>
      </c>
      <c r="E225" t="str">
        <f>VLOOKUP(B225,[1]pivottables!$F$2:$G$52,2,0)</f>
        <v>ITA</v>
      </c>
      <c r="F225">
        <v>1</v>
      </c>
      <c r="G225">
        <f>VLOOKUP(C225,[1]products!$B$2:$E$27,4,0)</f>
        <v>74.55</v>
      </c>
      <c r="H225">
        <f t="shared" si="3"/>
        <v>74.55</v>
      </c>
    </row>
    <row r="226" spans="1:8" x14ac:dyDescent="0.3">
      <c r="A226">
        <v>225</v>
      </c>
      <c r="B226">
        <v>26</v>
      </c>
      <c r="C226">
        <v>124</v>
      </c>
      <c r="D226" s="6">
        <v>42875</v>
      </c>
      <c r="E226" t="str">
        <f>VLOOKUP(B226,[1]pivottables!$F$2:$G$52,2,0)</f>
        <v>NLD</v>
      </c>
      <c r="F226">
        <v>2</v>
      </c>
      <c r="G226">
        <f>VLOOKUP(C226,[1]products!$B$2:$E$27,4,0)</f>
        <v>108.54</v>
      </c>
      <c r="H226">
        <f t="shared" si="3"/>
        <v>217.08</v>
      </c>
    </row>
    <row r="227" spans="1:8" x14ac:dyDescent="0.3">
      <c r="A227">
        <v>226</v>
      </c>
      <c r="B227">
        <v>9</v>
      </c>
      <c r="C227">
        <v>117</v>
      </c>
      <c r="D227" s="6">
        <v>42203</v>
      </c>
      <c r="E227" t="str">
        <f>VLOOKUP(B227,[1]pivottables!$F$2:$G$52,2,0)</f>
        <v>HUN</v>
      </c>
      <c r="F227">
        <v>2</v>
      </c>
      <c r="G227">
        <f>VLOOKUP(C227,[1]products!$B$2:$E$27,4,0)</f>
        <v>47.38</v>
      </c>
      <c r="H227">
        <f t="shared" si="3"/>
        <v>94.76</v>
      </c>
    </row>
    <row r="228" spans="1:8" x14ac:dyDescent="0.3">
      <c r="A228">
        <v>227</v>
      </c>
      <c r="B228">
        <v>34</v>
      </c>
      <c r="C228">
        <v>119</v>
      </c>
      <c r="D228" s="6">
        <v>42481</v>
      </c>
      <c r="E228" t="str">
        <f>VLOOKUP(B228,[1]pivottables!$F$2:$G$52,2,0)</f>
        <v>CAN</v>
      </c>
      <c r="F228">
        <v>5</v>
      </c>
      <c r="G228">
        <f>VLOOKUP(C228,[1]products!$B$2:$E$27,4,0)</f>
        <v>74.55</v>
      </c>
      <c r="H228">
        <f t="shared" si="3"/>
        <v>372.75</v>
      </c>
    </row>
    <row r="229" spans="1:8" x14ac:dyDescent="0.3">
      <c r="A229">
        <v>228</v>
      </c>
      <c r="B229">
        <v>19</v>
      </c>
      <c r="C229">
        <v>109</v>
      </c>
      <c r="D229" s="6">
        <v>42049</v>
      </c>
      <c r="E229" t="str">
        <f>VLOOKUP(B229,[1]pivottables!$F$2:$G$52,2,0)</f>
        <v>NLD</v>
      </c>
      <c r="F229">
        <v>1</v>
      </c>
      <c r="G229">
        <f>VLOOKUP(C229,[1]products!$B$2:$E$27,4,0)</f>
        <v>143.97999999999999</v>
      </c>
      <c r="H229">
        <f t="shared" si="3"/>
        <v>143.97999999999999</v>
      </c>
    </row>
    <row r="230" spans="1:8" x14ac:dyDescent="0.3">
      <c r="A230">
        <v>229</v>
      </c>
      <c r="B230">
        <v>22</v>
      </c>
      <c r="C230">
        <v>117</v>
      </c>
      <c r="D230" s="6">
        <v>42643</v>
      </c>
      <c r="E230" t="str">
        <f>VLOOKUP(B230,[1]pivottables!$F$2:$G$52,2,0)</f>
        <v>FRA</v>
      </c>
      <c r="F230">
        <v>4</v>
      </c>
      <c r="G230">
        <f>VLOOKUP(C230,[1]products!$B$2:$E$27,4,0)</f>
        <v>47.38</v>
      </c>
      <c r="H230">
        <f t="shared" si="3"/>
        <v>189.52</v>
      </c>
    </row>
    <row r="231" spans="1:8" x14ac:dyDescent="0.3">
      <c r="A231">
        <v>230</v>
      </c>
      <c r="B231">
        <v>43</v>
      </c>
      <c r="C231">
        <v>122</v>
      </c>
      <c r="D231" s="6">
        <v>42374</v>
      </c>
      <c r="E231" t="str">
        <f>VLOOKUP(B231,[1]pivottables!$F$2:$G$52,2,0)</f>
        <v>FRA</v>
      </c>
      <c r="F231">
        <v>3</v>
      </c>
      <c r="G231">
        <f>VLOOKUP(C231,[1]products!$B$2:$E$27,4,0)</f>
        <v>32.64</v>
      </c>
      <c r="H231">
        <f t="shared" si="3"/>
        <v>97.92</v>
      </c>
    </row>
    <row r="232" spans="1:8" x14ac:dyDescent="0.3">
      <c r="A232">
        <v>231</v>
      </c>
      <c r="B232">
        <v>49</v>
      </c>
      <c r="C232">
        <v>107</v>
      </c>
      <c r="D232" s="6">
        <v>42246</v>
      </c>
      <c r="E232" t="str">
        <f>VLOOKUP(B232,[1]pivottables!$F$2:$G$52,2,0)</f>
        <v>JPN</v>
      </c>
      <c r="F232">
        <v>4</v>
      </c>
      <c r="G232">
        <f>VLOOKUP(C232,[1]products!$B$2:$E$27,4,0)</f>
        <v>43.1</v>
      </c>
      <c r="H232">
        <f t="shared" si="3"/>
        <v>172.4</v>
      </c>
    </row>
    <row r="233" spans="1:8" x14ac:dyDescent="0.3">
      <c r="A233">
        <v>232</v>
      </c>
      <c r="B233">
        <v>49</v>
      </c>
      <c r="C233">
        <v>123</v>
      </c>
      <c r="D233" s="6">
        <v>42235</v>
      </c>
      <c r="E233" t="str">
        <f>VLOOKUP(B233,[1]pivottables!$F$2:$G$52,2,0)</f>
        <v>JPN</v>
      </c>
      <c r="F233">
        <v>3</v>
      </c>
      <c r="G233">
        <f>VLOOKUP(C233,[1]products!$B$2:$E$27,4,0)</f>
        <v>39.67</v>
      </c>
      <c r="H233">
        <f t="shared" si="3"/>
        <v>119.01</v>
      </c>
    </row>
    <row r="234" spans="1:8" x14ac:dyDescent="0.3">
      <c r="A234">
        <v>233</v>
      </c>
      <c r="B234">
        <v>35</v>
      </c>
      <c r="C234">
        <v>119</v>
      </c>
      <c r="D234" s="6">
        <v>42032</v>
      </c>
      <c r="E234" t="str">
        <f>VLOOKUP(B234,[1]pivottables!$F$2:$G$52,2,0)</f>
        <v>JPN</v>
      </c>
      <c r="F234">
        <v>2</v>
      </c>
      <c r="G234">
        <f>VLOOKUP(C234,[1]products!$B$2:$E$27,4,0)</f>
        <v>74.55</v>
      </c>
      <c r="H234">
        <f t="shared" si="3"/>
        <v>149.1</v>
      </c>
    </row>
    <row r="235" spans="1:8" x14ac:dyDescent="0.3">
      <c r="A235">
        <v>234</v>
      </c>
      <c r="B235">
        <v>47</v>
      </c>
      <c r="C235">
        <v>111</v>
      </c>
      <c r="D235" s="6">
        <v>43100</v>
      </c>
      <c r="E235" t="str">
        <f>VLOOKUP(B235,[1]pivottables!$F$2:$G$52,2,0)</f>
        <v>CHN</v>
      </c>
      <c r="F235">
        <v>5</v>
      </c>
      <c r="G235">
        <f>VLOOKUP(C235,[1]products!$B$2:$E$27,4,0)</f>
        <v>149.93</v>
      </c>
      <c r="H235">
        <f t="shared" si="3"/>
        <v>749.65000000000009</v>
      </c>
    </row>
    <row r="236" spans="1:8" x14ac:dyDescent="0.3">
      <c r="A236">
        <v>235</v>
      </c>
      <c r="B236">
        <v>50</v>
      </c>
      <c r="C236">
        <v>118</v>
      </c>
      <c r="D236" s="6">
        <v>42867</v>
      </c>
      <c r="E236" t="str">
        <f>VLOOKUP(B236,[1]pivottables!$F$2:$G$52,2,0)</f>
        <v>NLD</v>
      </c>
      <c r="F236">
        <v>3</v>
      </c>
      <c r="G236">
        <f>VLOOKUP(C236,[1]products!$B$2:$E$27,4,0)</f>
        <v>56.48</v>
      </c>
      <c r="H236">
        <f t="shared" si="3"/>
        <v>169.44</v>
      </c>
    </row>
    <row r="237" spans="1:8" x14ac:dyDescent="0.3">
      <c r="A237">
        <v>236</v>
      </c>
      <c r="B237">
        <v>26</v>
      </c>
      <c r="C237">
        <v>115</v>
      </c>
      <c r="D237" s="6">
        <v>42893</v>
      </c>
      <c r="E237" t="str">
        <f>VLOOKUP(B237,[1]pivottables!$F$2:$G$52,2,0)</f>
        <v>NLD</v>
      </c>
      <c r="F237">
        <v>5</v>
      </c>
      <c r="G237">
        <f>VLOOKUP(C237,[1]products!$B$2:$E$27,4,0)</f>
        <v>22.55</v>
      </c>
      <c r="H237">
        <f t="shared" si="3"/>
        <v>112.75</v>
      </c>
    </row>
    <row r="238" spans="1:8" x14ac:dyDescent="0.3">
      <c r="A238">
        <v>237</v>
      </c>
      <c r="B238">
        <v>21</v>
      </c>
      <c r="C238">
        <v>120</v>
      </c>
      <c r="D238" s="6">
        <v>42905</v>
      </c>
      <c r="E238" t="str">
        <f>VLOOKUP(B238,[1]pivottables!$F$2:$G$52,2,0)</f>
        <v>HUN</v>
      </c>
      <c r="F238">
        <v>5</v>
      </c>
      <c r="G238">
        <f>VLOOKUP(C238,[1]products!$B$2:$E$27,4,0)</f>
        <v>17.13</v>
      </c>
      <c r="H238">
        <f t="shared" si="3"/>
        <v>85.649999999999991</v>
      </c>
    </row>
    <row r="239" spans="1:8" x14ac:dyDescent="0.3">
      <c r="A239">
        <v>238</v>
      </c>
      <c r="B239">
        <v>32</v>
      </c>
      <c r="C239">
        <v>124</v>
      </c>
      <c r="D239" s="6">
        <v>42432</v>
      </c>
      <c r="E239" t="str">
        <f>VLOOKUP(B239,[1]pivottables!$F$2:$G$52,2,0)</f>
        <v>NLD</v>
      </c>
      <c r="F239">
        <v>1</v>
      </c>
      <c r="G239">
        <f>VLOOKUP(C239,[1]products!$B$2:$E$27,4,0)</f>
        <v>108.54</v>
      </c>
      <c r="H239">
        <f t="shared" si="3"/>
        <v>108.54</v>
      </c>
    </row>
    <row r="240" spans="1:8" x14ac:dyDescent="0.3">
      <c r="A240">
        <v>239</v>
      </c>
      <c r="B240">
        <v>6</v>
      </c>
      <c r="C240">
        <v>100</v>
      </c>
      <c r="D240" s="6">
        <v>42311</v>
      </c>
      <c r="E240" t="str">
        <f>VLOOKUP(B240,[1]pivottables!$F$2:$G$52,2,0)</f>
        <v>CAN</v>
      </c>
      <c r="F240">
        <v>3</v>
      </c>
      <c r="G240">
        <f>VLOOKUP(C240,[1]products!$B$2:$E$27,4,0)</f>
        <v>30.29</v>
      </c>
      <c r="H240">
        <f t="shared" si="3"/>
        <v>90.87</v>
      </c>
    </row>
    <row r="241" spans="1:8" x14ac:dyDescent="0.3">
      <c r="A241">
        <v>240</v>
      </c>
      <c r="B241">
        <v>3</v>
      </c>
      <c r="C241">
        <v>105</v>
      </c>
      <c r="D241" s="6">
        <v>42943</v>
      </c>
      <c r="E241" t="str">
        <f>VLOOKUP(B241,[1]pivottables!$F$2:$G$52,2,0)</f>
        <v>NLD</v>
      </c>
      <c r="F241">
        <v>2</v>
      </c>
      <c r="G241">
        <f>VLOOKUP(C241,[1]products!$B$2:$E$27,4,0)</f>
        <v>149.93</v>
      </c>
      <c r="H241">
        <f t="shared" si="3"/>
        <v>299.86</v>
      </c>
    </row>
    <row r="242" spans="1:8" x14ac:dyDescent="0.3">
      <c r="A242">
        <v>241</v>
      </c>
      <c r="B242">
        <v>50</v>
      </c>
      <c r="C242">
        <v>116</v>
      </c>
      <c r="D242" s="6">
        <v>42702</v>
      </c>
      <c r="E242" t="str">
        <f>VLOOKUP(B242,[1]pivottables!$F$2:$G$52,2,0)</f>
        <v>NLD</v>
      </c>
      <c r="F242">
        <v>4</v>
      </c>
      <c r="G242">
        <f>VLOOKUP(C242,[1]products!$B$2:$E$27,4,0)</f>
        <v>137.19999999999999</v>
      </c>
      <c r="H242">
        <f t="shared" si="3"/>
        <v>548.79999999999995</v>
      </c>
    </row>
    <row r="243" spans="1:8" x14ac:dyDescent="0.3">
      <c r="A243">
        <v>242</v>
      </c>
      <c r="B243">
        <v>8</v>
      </c>
      <c r="C243">
        <v>117</v>
      </c>
      <c r="D243" s="6">
        <v>42120</v>
      </c>
      <c r="E243" t="str">
        <f>VLOOKUP(B243,[1]pivottables!$F$2:$G$52,2,0)</f>
        <v>CZE</v>
      </c>
      <c r="F243">
        <v>3</v>
      </c>
      <c r="G243">
        <f>VLOOKUP(C243,[1]products!$B$2:$E$27,4,0)</f>
        <v>47.38</v>
      </c>
      <c r="H243">
        <f t="shared" si="3"/>
        <v>142.14000000000001</v>
      </c>
    </row>
    <row r="244" spans="1:8" x14ac:dyDescent="0.3">
      <c r="A244">
        <v>243</v>
      </c>
      <c r="B244">
        <v>32</v>
      </c>
      <c r="C244">
        <v>118</v>
      </c>
      <c r="D244" s="6">
        <v>42963</v>
      </c>
      <c r="E244" t="str">
        <f>VLOOKUP(B244,[1]pivottables!$F$2:$G$52,2,0)</f>
        <v>NLD</v>
      </c>
      <c r="F244">
        <v>4</v>
      </c>
      <c r="G244">
        <f>VLOOKUP(C244,[1]products!$B$2:$E$27,4,0)</f>
        <v>56.48</v>
      </c>
      <c r="H244">
        <f t="shared" si="3"/>
        <v>225.92</v>
      </c>
    </row>
    <row r="245" spans="1:8" x14ac:dyDescent="0.3">
      <c r="A245">
        <v>244</v>
      </c>
      <c r="B245">
        <v>32</v>
      </c>
      <c r="C245">
        <v>121</v>
      </c>
      <c r="D245" s="6">
        <v>42495</v>
      </c>
      <c r="E245" t="str">
        <f>VLOOKUP(B245,[1]pivottables!$F$2:$G$52,2,0)</f>
        <v>NLD</v>
      </c>
      <c r="F245">
        <v>2</v>
      </c>
      <c r="G245">
        <f>VLOOKUP(C245,[1]products!$B$2:$E$27,4,0)</f>
        <v>49.09</v>
      </c>
      <c r="H245">
        <f t="shared" si="3"/>
        <v>98.18</v>
      </c>
    </row>
    <row r="246" spans="1:8" x14ac:dyDescent="0.3">
      <c r="A246">
        <v>245</v>
      </c>
      <c r="B246">
        <v>30</v>
      </c>
      <c r="C246">
        <v>122</v>
      </c>
      <c r="D246" s="6">
        <v>42465</v>
      </c>
      <c r="E246" t="str">
        <f>VLOOKUP(B246,[1]pivottables!$F$2:$G$52,2,0)</f>
        <v>FRA</v>
      </c>
      <c r="F246">
        <v>4</v>
      </c>
      <c r="G246">
        <f>VLOOKUP(C246,[1]products!$B$2:$E$27,4,0)</f>
        <v>32.64</v>
      </c>
      <c r="H246">
        <f t="shared" si="3"/>
        <v>130.56</v>
      </c>
    </row>
    <row r="247" spans="1:8" x14ac:dyDescent="0.3">
      <c r="A247">
        <v>246</v>
      </c>
      <c r="B247">
        <v>8</v>
      </c>
      <c r="C247">
        <v>119</v>
      </c>
      <c r="D247" s="6">
        <v>42428</v>
      </c>
      <c r="E247" t="str">
        <f>VLOOKUP(B247,[1]pivottables!$F$2:$G$52,2,0)</f>
        <v>CZE</v>
      </c>
      <c r="F247">
        <v>2</v>
      </c>
      <c r="G247">
        <f>VLOOKUP(C247,[1]products!$B$2:$E$27,4,0)</f>
        <v>74.55</v>
      </c>
      <c r="H247">
        <f t="shared" si="3"/>
        <v>149.1</v>
      </c>
    </row>
    <row r="248" spans="1:8" x14ac:dyDescent="0.3">
      <c r="A248">
        <v>247</v>
      </c>
      <c r="B248">
        <v>15</v>
      </c>
      <c r="C248">
        <v>101</v>
      </c>
      <c r="D248" s="6">
        <v>42900</v>
      </c>
      <c r="E248" t="str">
        <f>VLOOKUP(B248,[1]pivottables!$F$2:$G$52,2,0)</f>
        <v>HUN</v>
      </c>
      <c r="F248">
        <v>5</v>
      </c>
      <c r="G248">
        <f>VLOOKUP(C248,[1]products!$B$2:$E$27,4,0)</f>
        <v>108.61</v>
      </c>
      <c r="H248">
        <f t="shared" si="3"/>
        <v>543.04999999999995</v>
      </c>
    </row>
    <row r="249" spans="1:8" x14ac:dyDescent="0.3">
      <c r="A249">
        <v>248</v>
      </c>
      <c r="B249">
        <v>36</v>
      </c>
      <c r="C249">
        <v>124</v>
      </c>
      <c r="D249" s="6">
        <v>43012</v>
      </c>
      <c r="E249" t="str">
        <f>VLOOKUP(B249,[1]pivottables!$F$2:$G$52,2,0)</f>
        <v>FRA</v>
      </c>
      <c r="F249">
        <v>4</v>
      </c>
      <c r="G249">
        <f>VLOOKUP(C249,[1]products!$B$2:$E$27,4,0)</f>
        <v>108.54</v>
      </c>
      <c r="H249">
        <f t="shared" si="3"/>
        <v>434.16</v>
      </c>
    </row>
    <row r="250" spans="1:8" x14ac:dyDescent="0.3">
      <c r="A250">
        <v>249</v>
      </c>
      <c r="B250">
        <v>20</v>
      </c>
      <c r="C250">
        <v>112</v>
      </c>
      <c r="D250" s="6">
        <v>42209</v>
      </c>
      <c r="E250" t="str">
        <f>VLOOKUP(B250,[1]pivottables!$F$2:$G$52,2,0)</f>
        <v>FRA</v>
      </c>
      <c r="F250">
        <v>1</v>
      </c>
      <c r="G250">
        <f>VLOOKUP(C250,[1]products!$B$2:$E$27,4,0)</f>
        <v>106.3</v>
      </c>
      <c r="H250">
        <f t="shared" si="3"/>
        <v>106.3</v>
      </c>
    </row>
    <row r="251" spans="1:8" x14ac:dyDescent="0.3">
      <c r="A251">
        <v>250</v>
      </c>
      <c r="B251">
        <v>22</v>
      </c>
      <c r="C251">
        <v>123</v>
      </c>
      <c r="D251" s="6">
        <v>42709</v>
      </c>
      <c r="E251" t="str">
        <f>VLOOKUP(B251,[1]pivottables!$F$2:$G$52,2,0)</f>
        <v>FRA</v>
      </c>
      <c r="F251">
        <v>5</v>
      </c>
      <c r="G251">
        <f>VLOOKUP(C251,[1]products!$B$2:$E$27,4,0)</f>
        <v>39.67</v>
      </c>
      <c r="H251">
        <f t="shared" si="3"/>
        <v>198.35000000000002</v>
      </c>
    </row>
    <row r="252" spans="1:8" x14ac:dyDescent="0.3">
      <c r="A252">
        <v>251</v>
      </c>
      <c r="B252">
        <v>20</v>
      </c>
      <c r="C252">
        <v>113</v>
      </c>
      <c r="D252" s="6">
        <v>42674</v>
      </c>
      <c r="E252" t="str">
        <f>VLOOKUP(B252,[1]pivottables!$F$2:$G$52,2,0)</f>
        <v>FRA</v>
      </c>
      <c r="F252">
        <v>4</v>
      </c>
      <c r="G252">
        <f>VLOOKUP(C252,[1]products!$B$2:$E$27,4,0)</f>
        <v>9.89</v>
      </c>
      <c r="H252">
        <f t="shared" si="3"/>
        <v>39.56</v>
      </c>
    </row>
    <row r="253" spans="1:8" x14ac:dyDescent="0.3">
      <c r="A253">
        <v>252</v>
      </c>
      <c r="B253">
        <v>11</v>
      </c>
      <c r="C253">
        <v>121</v>
      </c>
      <c r="D253" s="6">
        <v>43091</v>
      </c>
      <c r="E253" t="str">
        <f>VLOOKUP(B253,[1]pivottables!$F$2:$G$52,2,0)</f>
        <v>ITA</v>
      </c>
      <c r="F253">
        <v>3</v>
      </c>
      <c r="G253">
        <f>VLOOKUP(C253,[1]products!$B$2:$E$27,4,0)</f>
        <v>49.09</v>
      </c>
      <c r="H253">
        <f t="shared" si="3"/>
        <v>147.27000000000001</v>
      </c>
    </row>
    <row r="254" spans="1:8" x14ac:dyDescent="0.3">
      <c r="A254">
        <v>253</v>
      </c>
      <c r="B254">
        <v>4</v>
      </c>
      <c r="C254">
        <v>120</v>
      </c>
      <c r="D254" s="6">
        <v>43061</v>
      </c>
      <c r="E254" t="str">
        <f>VLOOKUP(B254,[1]pivottables!$F$2:$G$52,2,0)</f>
        <v>ITA</v>
      </c>
      <c r="F254">
        <v>2</v>
      </c>
      <c r="G254">
        <f>VLOOKUP(C254,[1]products!$B$2:$E$27,4,0)</f>
        <v>17.13</v>
      </c>
      <c r="H254">
        <f t="shared" si="3"/>
        <v>34.26</v>
      </c>
    </row>
    <row r="255" spans="1:8" x14ac:dyDescent="0.3">
      <c r="A255">
        <v>254</v>
      </c>
      <c r="B255">
        <v>41</v>
      </c>
      <c r="C255">
        <v>110</v>
      </c>
      <c r="D255" s="6">
        <v>42879</v>
      </c>
      <c r="E255" t="str">
        <f>VLOOKUP(B255,[1]pivottables!$F$2:$G$52,2,0)</f>
        <v>FRA</v>
      </c>
      <c r="F255">
        <v>3</v>
      </c>
      <c r="G255">
        <f>VLOOKUP(C255,[1]products!$B$2:$E$27,4,0)</f>
        <v>10.76</v>
      </c>
      <c r="H255">
        <f t="shared" si="3"/>
        <v>32.28</v>
      </c>
    </row>
    <row r="256" spans="1:8" x14ac:dyDescent="0.3">
      <c r="A256">
        <v>255</v>
      </c>
      <c r="B256">
        <v>11</v>
      </c>
      <c r="C256">
        <v>125</v>
      </c>
      <c r="D256" s="6">
        <v>43076</v>
      </c>
      <c r="E256" t="str">
        <f>VLOOKUP(B256,[1]pivottables!$F$2:$G$52,2,0)</f>
        <v>ITA</v>
      </c>
      <c r="F256">
        <v>2</v>
      </c>
      <c r="G256">
        <f>VLOOKUP(C256,[1]products!$B$2:$E$27,4,0)</f>
        <v>90.44</v>
      </c>
      <c r="H256">
        <f t="shared" si="3"/>
        <v>180.88</v>
      </c>
    </row>
    <row r="257" spans="1:8" x14ac:dyDescent="0.3">
      <c r="A257">
        <v>256</v>
      </c>
      <c r="B257">
        <v>3</v>
      </c>
      <c r="C257">
        <v>106</v>
      </c>
      <c r="D257" s="6">
        <v>42143</v>
      </c>
      <c r="E257" t="str">
        <f>VLOOKUP(B257,[1]pivottables!$F$2:$G$52,2,0)</f>
        <v>NLD</v>
      </c>
      <c r="F257">
        <v>3</v>
      </c>
      <c r="G257">
        <f>VLOOKUP(C257,[1]products!$B$2:$E$27,4,0)</f>
        <v>132.88</v>
      </c>
      <c r="H257">
        <f t="shared" si="3"/>
        <v>398.64</v>
      </c>
    </row>
    <row r="258" spans="1:8" x14ac:dyDescent="0.3">
      <c r="A258">
        <v>257</v>
      </c>
      <c r="B258">
        <v>45</v>
      </c>
      <c r="C258">
        <v>113</v>
      </c>
      <c r="D258" s="6">
        <v>42597</v>
      </c>
      <c r="E258" t="str">
        <f>VLOOKUP(B258,[1]pivottables!$F$2:$G$52,2,0)</f>
        <v>NLD</v>
      </c>
      <c r="F258">
        <v>3</v>
      </c>
      <c r="G258">
        <f>VLOOKUP(C258,[1]products!$B$2:$E$27,4,0)</f>
        <v>9.89</v>
      </c>
      <c r="H258">
        <f t="shared" si="3"/>
        <v>29.67</v>
      </c>
    </row>
    <row r="259" spans="1:8" x14ac:dyDescent="0.3">
      <c r="A259">
        <v>258</v>
      </c>
      <c r="B259">
        <v>32</v>
      </c>
      <c r="C259">
        <v>121</v>
      </c>
      <c r="D259" s="6">
        <v>42021</v>
      </c>
      <c r="E259" t="str">
        <f>VLOOKUP(B259,[1]pivottables!$F$2:$G$52,2,0)</f>
        <v>NLD</v>
      </c>
      <c r="F259">
        <v>1</v>
      </c>
      <c r="G259">
        <f>VLOOKUP(C259,[1]products!$B$2:$E$27,4,0)</f>
        <v>49.09</v>
      </c>
      <c r="H259">
        <f t="shared" ref="H259:H322" si="4">G259*F259</f>
        <v>49.09</v>
      </c>
    </row>
    <row r="260" spans="1:8" x14ac:dyDescent="0.3">
      <c r="A260">
        <v>259</v>
      </c>
      <c r="B260">
        <v>1</v>
      </c>
      <c r="C260">
        <v>109</v>
      </c>
      <c r="D260" s="6">
        <v>42363</v>
      </c>
      <c r="E260" t="str">
        <f>VLOOKUP(B260,[1]pivottables!$F$2:$G$52,2,0)</f>
        <v>FRA</v>
      </c>
      <c r="F260">
        <v>4</v>
      </c>
      <c r="G260">
        <f>VLOOKUP(C260,[1]products!$B$2:$E$27,4,0)</f>
        <v>143.97999999999999</v>
      </c>
      <c r="H260">
        <f t="shared" si="4"/>
        <v>575.91999999999996</v>
      </c>
    </row>
    <row r="261" spans="1:8" x14ac:dyDescent="0.3">
      <c r="A261">
        <v>260</v>
      </c>
      <c r="B261">
        <v>43</v>
      </c>
      <c r="C261">
        <v>113</v>
      </c>
      <c r="D261" s="6">
        <v>42429</v>
      </c>
      <c r="E261" t="str">
        <f>VLOOKUP(B261,[1]pivottables!$F$2:$G$52,2,0)</f>
        <v>FRA</v>
      </c>
      <c r="F261">
        <v>4</v>
      </c>
      <c r="G261">
        <f>VLOOKUP(C261,[1]products!$B$2:$E$27,4,0)</f>
        <v>9.89</v>
      </c>
      <c r="H261">
        <f t="shared" si="4"/>
        <v>39.56</v>
      </c>
    </row>
    <row r="262" spans="1:8" x14ac:dyDescent="0.3">
      <c r="A262">
        <v>261</v>
      </c>
      <c r="B262">
        <v>36</v>
      </c>
      <c r="C262">
        <v>118</v>
      </c>
      <c r="D262" s="6">
        <v>43014</v>
      </c>
      <c r="E262" t="str">
        <f>VLOOKUP(B262,[1]pivottables!$F$2:$G$52,2,0)</f>
        <v>FRA</v>
      </c>
      <c r="F262">
        <v>3</v>
      </c>
      <c r="G262">
        <f>VLOOKUP(C262,[1]products!$B$2:$E$27,4,0)</f>
        <v>56.48</v>
      </c>
      <c r="H262">
        <f t="shared" si="4"/>
        <v>169.44</v>
      </c>
    </row>
    <row r="263" spans="1:8" x14ac:dyDescent="0.3">
      <c r="A263">
        <v>262</v>
      </c>
      <c r="B263">
        <v>6</v>
      </c>
      <c r="C263">
        <v>110</v>
      </c>
      <c r="D263" s="6">
        <v>42681</v>
      </c>
      <c r="E263" t="str">
        <f>VLOOKUP(B263,[1]pivottables!$F$2:$G$52,2,0)</f>
        <v>CAN</v>
      </c>
      <c r="F263">
        <v>5</v>
      </c>
      <c r="G263">
        <f>VLOOKUP(C263,[1]products!$B$2:$E$27,4,0)</f>
        <v>10.76</v>
      </c>
      <c r="H263">
        <f t="shared" si="4"/>
        <v>53.8</v>
      </c>
    </row>
    <row r="264" spans="1:8" x14ac:dyDescent="0.3">
      <c r="A264">
        <v>263</v>
      </c>
      <c r="B264">
        <v>33</v>
      </c>
      <c r="C264">
        <v>114</v>
      </c>
      <c r="D264" s="6">
        <v>42899</v>
      </c>
      <c r="E264" t="str">
        <f>VLOOKUP(B264,[1]pivottables!$F$2:$G$52,2,0)</f>
        <v>NLD</v>
      </c>
      <c r="F264">
        <v>2</v>
      </c>
      <c r="G264">
        <f>VLOOKUP(C264,[1]products!$B$2:$E$27,4,0)</f>
        <v>74.38</v>
      </c>
      <c r="H264">
        <f t="shared" si="4"/>
        <v>148.76</v>
      </c>
    </row>
    <row r="265" spans="1:8" x14ac:dyDescent="0.3">
      <c r="A265">
        <v>264</v>
      </c>
      <c r="B265">
        <v>14</v>
      </c>
      <c r="C265">
        <v>115</v>
      </c>
      <c r="D265" s="6">
        <v>42068</v>
      </c>
      <c r="E265" t="str">
        <f>VLOOKUP(B265,[1]pivottables!$F$2:$G$52,2,0)</f>
        <v>CZE</v>
      </c>
      <c r="F265">
        <v>2</v>
      </c>
      <c r="G265">
        <f>VLOOKUP(C265,[1]products!$B$2:$E$27,4,0)</f>
        <v>22.55</v>
      </c>
      <c r="H265">
        <f t="shared" si="4"/>
        <v>45.1</v>
      </c>
    </row>
    <row r="266" spans="1:8" x14ac:dyDescent="0.3">
      <c r="A266">
        <v>265</v>
      </c>
      <c r="B266">
        <v>8</v>
      </c>
      <c r="C266">
        <v>125</v>
      </c>
      <c r="D266" s="6">
        <v>43045</v>
      </c>
      <c r="E266" t="str">
        <f>VLOOKUP(B266,[1]pivottables!$F$2:$G$52,2,0)</f>
        <v>CZE</v>
      </c>
      <c r="F266">
        <v>1</v>
      </c>
      <c r="G266">
        <f>VLOOKUP(C266,[1]products!$B$2:$E$27,4,0)</f>
        <v>90.44</v>
      </c>
      <c r="H266">
        <f t="shared" si="4"/>
        <v>90.44</v>
      </c>
    </row>
    <row r="267" spans="1:8" x14ac:dyDescent="0.3">
      <c r="A267">
        <v>266</v>
      </c>
      <c r="B267">
        <v>31</v>
      </c>
      <c r="C267">
        <v>125</v>
      </c>
      <c r="D267" s="6">
        <v>42598</v>
      </c>
      <c r="E267" t="str">
        <f>VLOOKUP(B267,[1]pivottables!$F$2:$G$52,2,0)</f>
        <v>GBR</v>
      </c>
      <c r="F267">
        <v>3</v>
      </c>
      <c r="G267">
        <f>VLOOKUP(C267,[1]products!$B$2:$E$27,4,0)</f>
        <v>90.44</v>
      </c>
      <c r="H267">
        <f t="shared" si="4"/>
        <v>271.32</v>
      </c>
    </row>
    <row r="268" spans="1:8" x14ac:dyDescent="0.3">
      <c r="A268">
        <v>267</v>
      </c>
      <c r="B268">
        <v>17</v>
      </c>
      <c r="C268">
        <v>102</v>
      </c>
      <c r="D268" s="6">
        <v>42418</v>
      </c>
      <c r="E268" t="str">
        <f>VLOOKUP(B268,[1]pivottables!$F$2:$G$52,2,0)</f>
        <v>CAN</v>
      </c>
      <c r="F268">
        <v>2</v>
      </c>
      <c r="G268">
        <f>VLOOKUP(C268,[1]products!$B$2:$E$27,4,0)</f>
        <v>14.94</v>
      </c>
      <c r="H268">
        <f t="shared" si="4"/>
        <v>29.88</v>
      </c>
    </row>
    <row r="269" spans="1:8" x14ac:dyDescent="0.3">
      <c r="A269">
        <v>268</v>
      </c>
      <c r="B269">
        <v>38</v>
      </c>
      <c r="C269">
        <v>103</v>
      </c>
      <c r="D269" s="6">
        <v>42322</v>
      </c>
      <c r="E269" t="str">
        <f>VLOOKUP(B269,[1]pivottables!$F$2:$G$52,2,0)</f>
        <v>USA</v>
      </c>
      <c r="F269">
        <v>2</v>
      </c>
      <c r="G269">
        <f>VLOOKUP(C269,[1]products!$B$2:$E$27,4,0)</f>
        <v>108.96</v>
      </c>
      <c r="H269">
        <f t="shared" si="4"/>
        <v>217.92</v>
      </c>
    </row>
    <row r="270" spans="1:8" x14ac:dyDescent="0.3">
      <c r="A270">
        <v>269</v>
      </c>
      <c r="B270">
        <v>47</v>
      </c>
      <c r="C270">
        <v>118</v>
      </c>
      <c r="D270" s="6">
        <v>42806</v>
      </c>
      <c r="E270" t="str">
        <f>VLOOKUP(B270,[1]pivottables!$F$2:$G$52,2,0)</f>
        <v>CHN</v>
      </c>
      <c r="F270">
        <v>4</v>
      </c>
      <c r="G270">
        <f>VLOOKUP(C270,[1]products!$B$2:$E$27,4,0)</f>
        <v>56.48</v>
      </c>
      <c r="H270">
        <f t="shared" si="4"/>
        <v>225.92</v>
      </c>
    </row>
    <row r="271" spans="1:8" x14ac:dyDescent="0.3">
      <c r="A271">
        <v>270</v>
      </c>
      <c r="B271">
        <v>45</v>
      </c>
      <c r="C271">
        <v>103</v>
      </c>
      <c r="D271" s="6">
        <v>42509</v>
      </c>
      <c r="E271" t="str">
        <f>VLOOKUP(B271,[1]pivottables!$F$2:$G$52,2,0)</f>
        <v>NLD</v>
      </c>
      <c r="F271">
        <v>5</v>
      </c>
      <c r="G271">
        <f>VLOOKUP(C271,[1]products!$B$2:$E$27,4,0)</f>
        <v>108.96</v>
      </c>
      <c r="H271">
        <f t="shared" si="4"/>
        <v>544.79999999999995</v>
      </c>
    </row>
    <row r="272" spans="1:8" x14ac:dyDescent="0.3">
      <c r="A272">
        <v>271</v>
      </c>
      <c r="B272">
        <v>4</v>
      </c>
      <c r="C272">
        <v>101</v>
      </c>
      <c r="D272" s="6">
        <v>43093</v>
      </c>
      <c r="E272" t="str">
        <f>VLOOKUP(B272,[1]pivottables!$F$2:$G$52,2,0)</f>
        <v>ITA</v>
      </c>
      <c r="F272">
        <v>3</v>
      </c>
      <c r="G272">
        <f>VLOOKUP(C272,[1]products!$B$2:$E$27,4,0)</f>
        <v>108.61</v>
      </c>
      <c r="H272">
        <f t="shared" si="4"/>
        <v>325.83</v>
      </c>
    </row>
    <row r="273" spans="1:8" x14ac:dyDescent="0.3">
      <c r="A273">
        <v>272</v>
      </c>
      <c r="B273">
        <v>22</v>
      </c>
      <c r="C273">
        <v>122</v>
      </c>
      <c r="D273" s="6">
        <v>42884</v>
      </c>
      <c r="E273" t="str">
        <f>VLOOKUP(B273,[1]pivottables!$F$2:$G$52,2,0)</f>
        <v>FRA</v>
      </c>
      <c r="F273">
        <v>2</v>
      </c>
      <c r="G273">
        <f>VLOOKUP(C273,[1]products!$B$2:$E$27,4,0)</f>
        <v>32.64</v>
      </c>
      <c r="H273">
        <f t="shared" si="4"/>
        <v>65.28</v>
      </c>
    </row>
    <row r="274" spans="1:8" x14ac:dyDescent="0.3">
      <c r="A274">
        <v>273</v>
      </c>
      <c r="B274">
        <v>39</v>
      </c>
      <c r="C274">
        <v>103</v>
      </c>
      <c r="D274" s="6">
        <v>43092</v>
      </c>
      <c r="E274" t="str">
        <f>VLOOKUP(B274,[1]pivottables!$F$2:$G$52,2,0)</f>
        <v>GBR</v>
      </c>
      <c r="F274">
        <v>5</v>
      </c>
      <c r="G274">
        <f>VLOOKUP(C274,[1]products!$B$2:$E$27,4,0)</f>
        <v>108.96</v>
      </c>
      <c r="H274">
        <f t="shared" si="4"/>
        <v>544.79999999999995</v>
      </c>
    </row>
    <row r="275" spans="1:8" x14ac:dyDescent="0.3">
      <c r="A275">
        <v>274</v>
      </c>
      <c r="B275">
        <v>1</v>
      </c>
      <c r="C275">
        <v>117</v>
      </c>
      <c r="D275" s="6">
        <v>42985</v>
      </c>
      <c r="E275" t="str">
        <f>VLOOKUP(B275,[1]pivottables!$F$2:$G$52,2,0)</f>
        <v>FRA</v>
      </c>
      <c r="F275">
        <v>2</v>
      </c>
      <c r="G275">
        <f>VLOOKUP(C275,[1]products!$B$2:$E$27,4,0)</f>
        <v>47.38</v>
      </c>
      <c r="H275">
        <f t="shared" si="4"/>
        <v>94.76</v>
      </c>
    </row>
    <row r="276" spans="1:8" x14ac:dyDescent="0.3">
      <c r="A276">
        <v>275</v>
      </c>
      <c r="B276">
        <v>13</v>
      </c>
      <c r="C276">
        <v>115</v>
      </c>
      <c r="D276" s="6">
        <v>42871</v>
      </c>
      <c r="E276" t="str">
        <f>VLOOKUP(B276,[1]pivottables!$F$2:$G$52,2,0)</f>
        <v>GBR</v>
      </c>
      <c r="F276">
        <v>3</v>
      </c>
      <c r="G276">
        <f>VLOOKUP(C276,[1]products!$B$2:$E$27,4,0)</f>
        <v>22.55</v>
      </c>
      <c r="H276">
        <f t="shared" si="4"/>
        <v>67.650000000000006</v>
      </c>
    </row>
    <row r="277" spans="1:8" x14ac:dyDescent="0.3">
      <c r="A277">
        <v>276</v>
      </c>
      <c r="B277">
        <v>18</v>
      </c>
      <c r="C277">
        <v>103</v>
      </c>
      <c r="D277" s="6">
        <v>42115</v>
      </c>
      <c r="E277" t="str">
        <f>VLOOKUP(B277,[1]pivottables!$F$2:$G$52,2,0)</f>
        <v>JPN</v>
      </c>
      <c r="F277">
        <v>5</v>
      </c>
      <c r="G277">
        <f>VLOOKUP(C277,[1]products!$B$2:$E$27,4,0)</f>
        <v>108.96</v>
      </c>
      <c r="H277">
        <f t="shared" si="4"/>
        <v>544.79999999999995</v>
      </c>
    </row>
    <row r="278" spans="1:8" x14ac:dyDescent="0.3">
      <c r="A278">
        <v>277</v>
      </c>
      <c r="B278">
        <v>39</v>
      </c>
      <c r="C278">
        <v>121</v>
      </c>
      <c r="D278" s="6">
        <v>42796</v>
      </c>
      <c r="E278" t="str">
        <f>VLOOKUP(B278,[1]pivottables!$F$2:$G$52,2,0)</f>
        <v>GBR</v>
      </c>
      <c r="F278">
        <v>1</v>
      </c>
      <c r="G278">
        <f>VLOOKUP(C278,[1]products!$B$2:$E$27,4,0)</f>
        <v>49.09</v>
      </c>
      <c r="H278">
        <f t="shared" si="4"/>
        <v>49.09</v>
      </c>
    </row>
    <row r="279" spans="1:8" x14ac:dyDescent="0.3">
      <c r="A279">
        <v>278</v>
      </c>
      <c r="B279">
        <v>15</v>
      </c>
      <c r="C279">
        <v>105</v>
      </c>
      <c r="D279" s="6">
        <v>43064</v>
      </c>
      <c r="E279" t="str">
        <f>VLOOKUP(B279,[1]pivottables!$F$2:$G$52,2,0)</f>
        <v>HUN</v>
      </c>
      <c r="F279">
        <v>4</v>
      </c>
      <c r="G279">
        <f>VLOOKUP(C279,[1]products!$B$2:$E$27,4,0)</f>
        <v>149.93</v>
      </c>
      <c r="H279">
        <f t="shared" si="4"/>
        <v>599.72</v>
      </c>
    </row>
    <row r="280" spans="1:8" x14ac:dyDescent="0.3">
      <c r="A280">
        <v>279</v>
      </c>
      <c r="B280">
        <v>9</v>
      </c>
      <c r="C280">
        <v>121</v>
      </c>
      <c r="D280" s="6">
        <v>42423</v>
      </c>
      <c r="E280" t="str">
        <f>VLOOKUP(B280,[1]pivottables!$F$2:$G$52,2,0)</f>
        <v>HUN</v>
      </c>
      <c r="F280">
        <v>1</v>
      </c>
      <c r="G280">
        <f>VLOOKUP(C280,[1]products!$B$2:$E$27,4,0)</f>
        <v>49.09</v>
      </c>
      <c r="H280">
        <f t="shared" si="4"/>
        <v>49.09</v>
      </c>
    </row>
    <row r="281" spans="1:8" x14ac:dyDescent="0.3">
      <c r="A281">
        <v>280</v>
      </c>
      <c r="B281">
        <v>42</v>
      </c>
      <c r="C281">
        <v>121</v>
      </c>
      <c r="D281" s="6">
        <v>42220</v>
      </c>
      <c r="E281" t="str">
        <f>VLOOKUP(B281,[1]pivottables!$F$2:$G$52,2,0)</f>
        <v>HUN</v>
      </c>
      <c r="F281">
        <v>4</v>
      </c>
      <c r="G281">
        <f>VLOOKUP(C281,[1]products!$B$2:$E$27,4,0)</f>
        <v>49.09</v>
      </c>
      <c r="H281">
        <f t="shared" si="4"/>
        <v>196.36</v>
      </c>
    </row>
    <row r="282" spans="1:8" x14ac:dyDescent="0.3">
      <c r="A282">
        <v>281</v>
      </c>
      <c r="B282">
        <v>27</v>
      </c>
      <c r="C282">
        <v>105</v>
      </c>
      <c r="D282" s="6">
        <v>42261</v>
      </c>
      <c r="E282" t="str">
        <f>VLOOKUP(B282,[1]pivottables!$F$2:$G$52,2,0)</f>
        <v>ITA</v>
      </c>
      <c r="F282">
        <v>1</v>
      </c>
      <c r="G282">
        <f>VLOOKUP(C282,[1]products!$B$2:$E$27,4,0)</f>
        <v>149.93</v>
      </c>
      <c r="H282">
        <f t="shared" si="4"/>
        <v>149.93</v>
      </c>
    </row>
    <row r="283" spans="1:8" x14ac:dyDescent="0.3">
      <c r="A283">
        <v>282</v>
      </c>
      <c r="B283">
        <v>38</v>
      </c>
      <c r="C283">
        <v>105</v>
      </c>
      <c r="D283" s="6">
        <v>42202</v>
      </c>
      <c r="E283" t="str">
        <f>VLOOKUP(B283,[1]pivottables!$F$2:$G$52,2,0)</f>
        <v>USA</v>
      </c>
      <c r="F283">
        <v>2</v>
      </c>
      <c r="G283">
        <f>VLOOKUP(C283,[1]products!$B$2:$E$27,4,0)</f>
        <v>149.93</v>
      </c>
      <c r="H283">
        <f t="shared" si="4"/>
        <v>299.86</v>
      </c>
    </row>
    <row r="284" spans="1:8" x14ac:dyDescent="0.3">
      <c r="A284">
        <v>283</v>
      </c>
      <c r="B284">
        <v>25</v>
      </c>
      <c r="C284">
        <v>125</v>
      </c>
      <c r="D284" s="6">
        <v>42495</v>
      </c>
      <c r="E284" t="str">
        <f>VLOOKUP(B284,[1]pivottables!$F$2:$G$52,2,0)</f>
        <v>CHN</v>
      </c>
      <c r="F284">
        <v>3</v>
      </c>
      <c r="G284">
        <f>VLOOKUP(C284,[1]products!$B$2:$E$27,4,0)</f>
        <v>90.44</v>
      </c>
      <c r="H284">
        <f t="shared" si="4"/>
        <v>271.32</v>
      </c>
    </row>
    <row r="285" spans="1:8" x14ac:dyDescent="0.3">
      <c r="A285">
        <v>284</v>
      </c>
      <c r="B285">
        <v>46</v>
      </c>
      <c r="C285">
        <v>106</v>
      </c>
      <c r="D285" s="6">
        <v>42809</v>
      </c>
      <c r="E285" t="str">
        <f>VLOOKUP(B285,[1]pivottables!$F$2:$G$52,2,0)</f>
        <v>JPN</v>
      </c>
      <c r="F285">
        <v>5</v>
      </c>
      <c r="G285">
        <f>VLOOKUP(C285,[1]products!$B$2:$E$27,4,0)</f>
        <v>132.88</v>
      </c>
      <c r="H285">
        <f t="shared" si="4"/>
        <v>664.4</v>
      </c>
    </row>
    <row r="286" spans="1:8" x14ac:dyDescent="0.3">
      <c r="A286">
        <v>285</v>
      </c>
      <c r="B286">
        <v>9</v>
      </c>
      <c r="C286">
        <v>117</v>
      </c>
      <c r="D286" s="6">
        <v>42335</v>
      </c>
      <c r="E286" t="str">
        <f>VLOOKUP(B286,[1]pivottables!$F$2:$G$52,2,0)</f>
        <v>HUN</v>
      </c>
      <c r="F286">
        <v>1</v>
      </c>
      <c r="G286">
        <f>VLOOKUP(C286,[1]products!$B$2:$E$27,4,0)</f>
        <v>47.38</v>
      </c>
      <c r="H286">
        <f t="shared" si="4"/>
        <v>47.38</v>
      </c>
    </row>
    <row r="287" spans="1:8" x14ac:dyDescent="0.3">
      <c r="A287">
        <v>286</v>
      </c>
      <c r="B287">
        <v>28</v>
      </c>
      <c r="C287">
        <v>106</v>
      </c>
      <c r="D287" s="6">
        <v>42955</v>
      </c>
      <c r="E287" t="str">
        <f>VLOOKUP(B287,[1]pivottables!$F$2:$G$52,2,0)</f>
        <v>FRA</v>
      </c>
      <c r="F287">
        <v>5</v>
      </c>
      <c r="G287">
        <f>VLOOKUP(C287,[1]products!$B$2:$E$27,4,0)</f>
        <v>132.88</v>
      </c>
      <c r="H287">
        <f t="shared" si="4"/>
        <v>664.4</v>
      </c>
    </row>
    <row r="288" spans="1:8" x14ac:dyDescent="0.3">
      <c r="A288">
        <v>287</v>
      </c>
      <c r="B288">
        <v>25</v>
      </c>
      <c r="C288">
        <v>109</v>
      </c>
      <c r="D288" s="6">
        <v>42540</v>
      </c>
      <c r="E288" t="str">
        <f>VLOOKUP(B288,[1]pivottables!$F$2:$G$52,2,0)</f>
        <v>CHN</v>
      </c>
      <c r="F288">
        <v>5</v>
      </c>
      <c r="G288">
        <f>VLOOKUP(C288,[1]products!$B$2:$E$27,4,0)</f>
        <v>143.97999999999999</v>
      </c>
      <c r="H288">
        <f t="shared" si="4"/>
        <v>719.9</v>
      </c>
    </row>
    <row r="289" spans="1:8" x14ac:dyDescent="0.3">
      <c r="A289">
        <v>288</v>
      </c>
      <c r="B289">
        <v>34</v>
      </c>
      <c r="C289">
        <v>101</v>
      </c>
      <c r="D289" s="6">
        <v>42327</v>
      </c>
      <c r="E289" t="str">
        <f>VLOOKUP(B289,[1]pivottables!$F$2:$G$52,2,0)</f>
        <v>CAN</v>
      </c>
      <c r="F289">
        <v>2</v>
      </c>
      <c r="G289">
        <f>VLOOKUP(C289,[1]products!$B$2:$E$27,4,0)</f>
        <v>108.61</v>
      </c>
      <c r="H289">
        <f t="shared" si="4"/>
        <v>217.22</v>
      </c>
    </row>
    <row r="290" spans="1:8" x14ac:dyDescent="0.3">
      <c r="A290">
        <v>289</v>
      </c>
      <c r="B290">
        <v>39</v>
      </c>
      <c r="C290">
        <v>119</v>
      </c>
      <c r="D290" s="6">
        <v>43003</v>
      </c>
      <c r="E290" t="str">
        <f>VLOOKUP(B290,[1]pivottables!$F$2:$G$52,2,0)</f>
        <v>GBR</v>
      </c>
      <c r="F290">
        <v>4</v>
      </c>
      <c r="G290">
        <f>VLOOKUP(C290,[1]products!$B$2:$E$27,4,0)</f>
        <v>74.55</v>
      </c>
      <c r="H290">
        <f t="shared" si="4"/>
        <v>298.2</v>
      </c>
    </row>
    <row r="291" spans="1:8" x14ac:dyDescent="0.3">
      <c r="A291">
        <v>290</v>
      </c>
      <c r="B291">
        <v>36</v>
      </c>
      <c r="C291">
        <v>122</v>
      </c>
      <c r="D291" s="6">
        <v>42533</v>
      </c>
      <c r="E291" t="str">
        <f>VLOOKUP(B291,[1]pivottables!$F$2:$G$52,2,0)</f>
        <v>FRA</v>
      </c>
      <c r="F291">
        <v>1</v>
      </c>
      <c r="G291">
        <f>VLOOKUP(C291,[1]products!$B$2:$E$27,4,0)</f>
        <v>32.64</v>
      </c>
      <c r="H291">
        <f t="shared" si="4"/>
        <v>32.64</v>
      </c>
    </row>
    <row r="292" spans="1:8" x14ac:dyDescent="0.3">
      <c r="A292">
        <v>291</v>
      </c>
      <c r="B292">
        <v>6</v>
      </c>
      <c r="C292">
        <v>119</v>
      </c>
      <c r="D292" s="6">
        <v>42212</v>
      </c>
      <c r="E292" t="str">
        <f>VLOOKUP(B292,[1]pivottables!$F$2:$G$52,2,0)</f>
        <v>CAN</v>
      </c>
      <c r="F292">
        <v>3</v>
      </c>
      <c r="G292">
        <f>VLOOKUP(C292,[1]products!$B$2:$E$27,4,0)</f>
        <v>74.55</v>
      </c>
      <c r="H292">
        <f t="shared" si="4"/>
        <v>223.64999999999998</v>
      </c>
    </row>
    <row r="293" spans="1:8" x14ac:dyDescent="0.3">
      <c r="A293">
        <v>292</v>
      </c>
      <c r="B293">
        <v>50</v>
      </c>
      <c r="C293">
        <v>108</v>
      </c>
      <c r="D293" s="6">
        <v>42806</v>
      </c>
      <c r="E293" t="str">
        <f>VLOOKUP(B293,[1]pivottables!$F$2:$G$52,2,0)</f>
        <v>NLD</v>
      </c>
      <c r="F293">
        <v>2</v>
      </c>
      <c r="G293">
        <f>VLOOKUP(C293,[1]products!$B$2:$E$27,4,0)</f>
        <v>137.97999999999999</v>
      </c>
      <c r="H293">
        <f t="shared" si="4"/>
        <v>275.95999999999998</v>
      </c>
    </row>
    <row r="294" spans="1:8" x14ac:dyDescent="0.3">
      <c r="A294">
        <v>293</v>
      </c>
      <c r="B294">
        <v>24</v>
      </c>
      <c r="C294">
        <v>121</v>
      </c>
      <c r="D294" s="6">
        <v>42515</v>
      </c>
      <c r="E294" t="str">
        <f>VLOOKUP(B294,[1]pivottables!$F$2:$G$52,2,0)</f>
        <v>NLD</v>
      </c>
      <c r="F294">
        <v>5</v>
      </c>
      <c r="G294">
        <f>VLOOKUP(C294,[1]products!$B$2:$E$27,4,0)</f>
        <v>49.09</v>
      </c>
      <c r="H294">
        <f t="shared" si="4"/>
        <v>245.45000000000002</v>
      </c>
    </row>
    <row r="295" spans="1:8" x14ac:dyDescent="0.3">
      <c r="A295">
        <v>294</v>
      </c>
      <c r="B295">
        <v>35</v>
      </c>
      <c r="C295">
        <v>119</v>
      </c>
      <c r="D295" s="6">
        <v>42031</v>
      </c>
      <c r="E295" t="str">
        <f>VLOOKUP(B295,[1]pivottables!$F$2:$G$52,2,0)</f>
        <v>JPN</v>
      </c>
      <c r="F295">
        <v>1</v>
      </c>
      <c r="G295">
        <f>VLOOKUP(C295,[1]products!$B$2:$E$27,4,0)</f>
        <v>74.55</v>
      </c>
      <c r="H295">
        <f t="shared" si="4"/>
        <v>74.55</v>
      </c>
    </row>
    <row r="296" spans="1:8" x14ac:dyDescent="0.3">
      <c r="A296">
        <v>295</v>
      </c>
      <c r="B296">
        <v>16</v>
      </c>
      <c r="C296">
        <v>125</v>
      </c>
      <c r="D296" s="6">
        <v>42362</v>
      </c>
      <c r="E296" t="str">
        <f>VLOOKUP(B296,[1]pivottables!$F$2:$G$52,2,0)</f>
        <v>JPN</v>
      </c>
      <c r="F296">
        <v>4</v>
      </c>
      <c r="G296">
        <f>VLOOKUP(C296,[1]products!$B$2:$E$27,4,0)</f>
        <v>90.44</v>
      </c>
      <c r="H296">
        <f t="shared" si="4"/>
        <v>361.76</v>
      </c>
    </row>
    <row r="297" spans="1:8" x14ac:dyDescent="0.3">
      <c r="A297">
        <v>296</v>
      </c>
      <c r="B297">
        <v>19</v>
      </c>
      <c r="C297">
        <v>124</v>
      </c>
      <c r="D297" s="6">
        <v>42948</v>
      </c>
      <c r="E297" t="str">
        <f>VLOOKUP(B297,[1]pivottables!$F$2:$G$52,2,0)</f>
        <v>NLD</v>
      </c>
      <c r="F297">
        <v>5</v>
      </c>
      <c r="G297">
        <f>VLOOKUP(C297,[1]products!$B$2:$E$27,4,0)</f>
        <v>108.54</v>
      </c>
      <c r="H297">
        <f t="shared" si="4"/>
        <v>542.70000000000005</v>
      </c>
    </row>
    <row r="298" spans="1:8" x14ac:dyDescent="0.3">
      <c r="A298">
        <v>297</v>
      </c>
      <c r="B298">
        <v>38</v>
      </c>
      <c r="C298">
        <v>119</v>
      </c>
      <c r="D298" s="6">
        <v>42933</v>
      </c>
      <c r="E298" t="str">
        <f>VLOOKUP(B298,[1]pivottables!$F$2:$G$52,2,0)</f>
        <v>USA</v>
      </c>
      <c r="F298">
        <v>5</v>
      </c>
      <c r="G298">
        <f>VLOOKUP(C298,[1]products!$B$2:$E$27,4,0)</f>
        <v>74.55</v>
      </c>
      <c r="H298">
        <f t="shared" si="4"/>
        <v>372.75</v>
      </c>
    </row>
    <row r="299" spans="1:8" x14ac:dyDescent="0.3">
      <c r="A299">
        <v>298</v>
      </c>
      <c r="B299">
        <v>45</v>
      </c>
      <c r="C299">
        <v>100</v>
      </c>
      <c r="D299" s="6">
        <v>42970</v>
      </c>
      <c r="E299" t="str">
        <f>VLOOKUP(B299,[1]pivottables!$F$2:$G$52,2,0)</f>
        <v>NLD</v>
      </c>
      <c r="F299">
        <v>1</v>
      </c>
      <c r="G299">
        <f>VLOOKUP(C299,[1]products!$B$2:$E$27,4,0)</f>
        <v>30.29</v>
      </c>
      <c r="H299">
        <f t="shared" si="4"/>
        <v>30.29</v>
      </c>
    </row>
    <row r="300" spans="1:8" x14ac:dyDescent="0.3">
      <c r="A300">
        <v>299</v>
      </c>
      <c r="B300">
        <v>39</v>
      </c>
      <c r="C300">
        <v>122</v>
      </c>
      <c r="D300" s="6">
        <v>42044</v>
      </c>
      <c r="E300" t="str">
        <f>VLOOKUP(B300,[1]pivottables!$F$2:$G$52,2,0)</f>
        <v>GBR</v>
      </c>
      <c r="F300">
        <v>5</v>
      </c>
      <c r="G300">
        <f>VLOOKUP(C300,[1]products!$B$2:$E$27,4,0)</f>
        <v>32.64</v>
      </c>
      <c r="H300">
        <f t="shared" si="4"/>
        <v>163.19999999999999</v>
      </c>
    </row>
    <row r="301" spans="1:8" x14ac:dyDescent="0.3">
      <c r="A301">
        <v>300</v>
      </c>
      <c r="B301">
        <v>17</v>
      </c>
      <c r="C301">
        <v>120</v>
      </c>
      <c r="D301" s="6">
        <v>42589</v>
      </c>
      <c r="E301" t="str">
        <f>VLOOKUP(B301,[1]pivottables!$F$2:$G$52,2,0)</f>
        <v>CAN</v>
      </c>
      <c r="F301">
        <v>2</v>
      </c>
      <c r="G301">
        <f>VLOOKUP(C301,[1]products!$B$2:$E$27,4,0)</f>
        <v>17.13</v>
      </c>
      <c r="H301">
        <f t="shared" si="4"/>
        <v>34.26</v>
      </c>
    </row>
    <row r="302" spans="1:8" x14ac:dyDescent="0.3">
      <c r="A302">
        <v>301</v>
      </c>
      <c r="B302">
        <v>11</v>
      </c>
      <c r="C302">
        <v>122</v>
      </c>
      <c r="D302" s="6">
        <v>42995</v>
      </c>
      <c r="E302" t="str">
        <f>VLOOKUP(B302,[1]pivottables!$F$2:$G$52,2,0)</f>
        <v>ITA</v>
      </c>
      <c r="F302">
        <v>3</v>
      </c>
      <c r="G302">
        <f>VLOOKUP(C302,[1]products!$B$2:$E$27,4,0)</f>
        <v>32.64</v>
      </c>
      <c r="H302">
        <f t="shared" si="4"/>
        <v>97.92</v>
      </c>
    </row>
    <row r="303" spans="1:8" x14ac:dyDescent="0.3">
      <c r="A303">
        <v>302</v>
      </c>
      <c r="B303">
        <v>4</v>
      </c>
      <c r="C303">
        <v>110</v>
      </c>
      <c r="D303" s="6">
        <v>42498</v>
      </c>
      <c r="E303" t="str">
        <f>VLOOKUP(B303,[1]pivottables!$F$2:$G$52,2,0)</f>
        <v>ITA</v>
      </c>
      <c r="F303">
        <v>1</v>
      </c>
      <c r="G303">
        <f>VLOOKUP(C303,[1]products!$B$2:$E$27,4,0)</f>
        <v>10.76</v>
      </c>
      <c r="H303">
        <f t="shared" si="4"/>
        <v>10.76</v>
      </c>
    </row>
    <row r="304" spans="1:8" x14ac:dyDescent="0.3">
      <c r="A304">
        <v>303</v>
      </c>
      <c r="B304">
        <v>2</v>
      </c>
      <c r="C304">
        <v>113</v>
      </c>
      <c r="D304" s="6">
        <v>42059</v>
      </c>
      <c r="E304" t="str">
        <f>VLOOKUP(B304,[1]pivottables!$F$2:$G$52,2,0)</f>
        <v>CZE</v>
      </c>
      <c r="F304">
        <v>3</v>
      </c>
      <c r="G304">
        <f>VLOOKUP(C304,[1]products!$B$2:$E$27,4,0)</f>
        <v>9.89</v>
      </c>
      <c r="H304">
        <f t="shared" si="4"/>
        <v>29.67</v>
      </c>
    </row>
    <row r="305" spans="1:8" x14ac:dyDescent="0.3">
      <c r="A305">
        <v>304</v>
      </c>
      <c r="B305">
        <v>10</v>
      </c>
      <c r="C305">
        <v>106</v>
      </c>
      <c r="D305" s="6">
        <v>42314</v>
      </c>
      <c r="E305" t="str">
        <f>VLOOKUP(B305,[1]pivottables!$F$2:$G$52,2,0)</f>
        <v>NLD</v>
      </c>
      <c r="F305">
        <v>2</v>
      </c>
      <c r="G305">
        <f>VLOOKUP(C305,[1]products!$B$2:$E$27,4,0)</f>
        <v>132.88</v>
      </c>
      <c r="H305">
        <f t="shared" si="4"/>
        <v>265.76</v>
      </c>
    </row>
    <row r="306" spans="1:8" x14ac:dyDescent="0.3">
      <c r="A306">
        <v>305</v>
      </c>
      <c r="B306">
        <v>31</v>
      </c>
      <c r="C306">
        <v>113</v>
      </c>
      <c r="D306" s="6">
        <v>42150</v>
      </c>
      <c r="E306" t="str">
        <f>VLOOKUP(B306,[1]pivottables!$F$2:$G$52,2,0)</f>
        <v>GBR</v>
      </c>
      <c r="F306">
        <v>4</v>
      </c>
      <c r="G306">
        <f>VLOOKUP(C306,[1]products!$B$2:$E$27,4,0)</f>
        <v>9.89</v>
      </c>
      <c r="H306">
        <f t="shared" si="4"/>
        <v>39.56</v>
      </c>
    </row>
    <row r="307" spans="1:8" x14ac:dyDescent="0.3">
      <c r="A307">
        <v>306</v>
      </c>
      <c r="B307">
        <v>23</v>
      </c>
      <c r="C307">
        <v>119</v>
      </c>
      <c r="D307" s="6">
        <v>42919</v>
      </c>
      <c r="E307" t="str">
        <f>VLOOKUP(B307,[1]pivottables!$F$2:$G$52,2,0)</f>
        <v>GBR</v>
      </c>
      <c r="F307">
        <v>2</v>
      </c>
      <c r="G307">
        <f>VLOOKUP(C307,[1]products!$B$2:$E$27,4,0)</f>
        <v>74.55</v>
      </c>
      <c r="H307">
        <f t="shared" si="4"/>
        <v>149.1</v>
      </c>
    </row>
    <row r="308" spans="1:8" x14ac:dyDescent="0.3">
      <c r="A308">
        <v>307</v>
      </c>
      <c r="B308">
        <v>8</v>
      </c>
      <c r="C308">
        <v>121</v>
      </c>
      <c r="D308" s="6">
        <v>42195</v>
      </c>
      <c r="E308" t="str">
        <f>VLOOKUP(B308,[1]pivottables!$F$2:$G$52,2,0)</f>
        <v>CZE</v>
      </c>
      <c r="F308">
        <v>5</v>
      </c>
      <c r="G308">
        <f>VLOOKUP(C308,[1]products!$B$2:$E$27,4,0)</f>
        <v>49.09</v>
      </c>
      <c r="H308">
        <f t="shared" si="4"/>
        <v>245.45000000000002</v>
      </c>
    </row>
    <row r="309" spans="1:8" x14ac:dyDescent="0.3">
      <c r="A309">
        <v>308</v>
      </c>
      <c r="B309">
        <v>40</v>
      </c>
      <c r="C309">
        <v>104</v>
      </c>
      <c r="D309" s="6">
        <v>43064</v>
      </c>
      <c r="E309" t="str">
        <f>VLOOKUP(B309,[1]pivottables!$F$2:$G$52,2,0)</f>
        <v>JPN</v>
      </c>
      <c r="F309">
        <v>5</v>
      </c>
      <c r="G309">
        <f>VLOOKUP(C309,[1]products!$B$2:$E$27,4,0)</f>
        <v>122.18</v>
      </c>
      <c r="H309">
        <f t="shared" si="4"/>
        <v>610.90000000000009</v>
      </c>
    </row>
    <row r="310" spans="1:8" x14ac:dyDescent="0.3">
      <c r="A310">
        <v>309</v>
      </c>
      <c r="B310">
        <v>9</v>
      </c>
      <c r="C310">
        <v>108</v>
      </c>
      <c r="D310" s="6">
        <v>42130</v>
      </c>
      <c r="E310" t="str">
        <f>VLOOKUP(B310,[1]pivottables!$F$2:$G$52,2,0)</f>
        <v>HUN</v>
      </c>
      <c r="F310">
        <v>2</v>
      </c>
      <c r="G310">
        <f>VLOOKUP(C310,[1]products!$B$2:$E$27,4,0)</f>
        <v>137.97999999999999</v>
      </c>
      <c r="H310">
        <f t="shared" si="4"/>
        <v>275.95999999999998</v>
      </c>
    </row>
    <row r="311" spans="1:8" x14ac:dyDescent="0.3">
      <c r="A311">
        <v>310</v>
      </c>
      <c r="B311">
        <v>34</v>
      </c>
      <c r="C311">
        <v>112</v>
      </c>
      <c r="D311" s="6">
        <v>42941</v>
      </c>
      <c r="E311" t="str">
        <f>VLOOKUP(B311,[1]pivottables!$F$2:$G$52,2,0)</f>
        <v>CAN</v>
      </c>
      <c r="F311">
        <v>2</v>
      </c>
      <c r="G311">
        <f>VLOOKUP(C311,[1]products!$B$2:$E$27,4,0)</f>
        <v>106.3</v>
      </c>
      <c r="H311">
        <f t="shared" si="4"/>
        <v>212.6</v>
      </c>
    </row>
    <row r="312" spans="1:8" x14ac:dyDescent="0.3">
      <c r="A312">
        <v>311</v>
      </c>
      <c r="B312">
        <v>28</v>
      </c>
      <c r="C312">
        <v>111</v>
      </c>
      <c r="D312" s="6">
        <v>42222</v>
      </c>
      <c r="E312" t="str">
        <f>VLOOKUP(B312,[1]pivottables!$F$2:$G$52,2,0)</f>
        <v>FRA</v>
      </c>
      <c r="F312">
        <v>5</v>
      </c>
      <c r="G312">
        <f>VLOOKUP(C312,[1]products!$B$2:$E$27,4,0)</f>
        <v>149.93</v>
      </c>
      <c r="H312">
        <f t="shared" si="4"/>
        <v>749.65000000000009</v>
      </c>
    </row>
    <row r="313" spans="1:8" x14ac:dyDescent="0.3">
      <c r="A313">
        <v>312</v>
      </c>
      <c r="B313">
        <v>4</v>
      </c>
      <c r="C313">
        <v>108</v>
      </c>
      <c r="D313" s="6">
        <v>42467</v>
      </c>
      <c r="E313" t="str">
        <f>VLOOKUP(B313,[1]pivottables!$F$2:$G$52,2,0)</f>
        <v>ITA</v>
      </c>
      <c r="F313">
        <v>2</v>
      </c>
      <c r="G313">
        <f>VLOOKUP(C313,[1]products!$B$2:$E$27,4,0)</f>
        <v>137.97999999999999</v>
      </c>
      <c r="H313">
        <f t="shared" si="4"/>
        <v>275.95999999999998</v>
      </c>
    </row>
    <row r="314" spans="1:8" x14ac:dyDescent="0.3">
      <c r="A314">
        <v>313</v>
      </c>
      <c r="B314">
        <v>1</v>
      </c>
      <c r="C314">
        <v>114</v>
      </c>
      <c r="D314" s="6">
        <v>42779</v>
      </c>
      <c r="E314" t="str">
        <f>VLOOKUP(B314,[1]pivottables!$F$2:$G$52,2,0)</f>
        <v>FRA</v>
      </c>
      <c r="F314">
        <v>4</v>
      </c>
      <c r="G314">
        <f>VLOOKUP(C314,[1]products!$B$2:$E$27,4,0)</f>
        <v>74.38</v>
      </c>
      <c r="H314">
        <f t="shared" si="4"/>
        <v>297.52</v>
      </c>
    </row>
    <row r="315" spans="1:8" x14ac:dyDescent="0.3">
      <c r="A315">
        <v>314</v>
      </c>
      <c r="B315">
        <v>14</v>
      </c>
      <c r="C315">
        <v>106</v>
      </c>
      <c r="D315" s="6">
        <v>42670</v>
      </c>
      <c r="E315" t="str">
        <f>VLOOKUP(B315,[1]pivottables!$F$2:$G$52,2,0)</f>
        <v>CZE</v>
      </c>
      <c r="F315">
        <v>4</v>
      </c>
      <c r="G315">
        <f>VLOOKUP(C315,[1]products!$B$2:$E$27,4,0)</f>
        <v>132.88</v>
      </c>
      <c r="H315">
        <f t="shared" si="4"/>
        <v>531.52</v>
      </c>
    </row>
    <row r="316" spans="1:8" x14ac:dyDescent="0.3">
      <c r="A316">
        <v>315</v>
      </c>
      <c r="B316">
        <v>16</v>
      </c>
      <c r="C316">
        <v>102</v>
      </c>
      <c r="D316" s="6">
        <v>42712</v>
      </c>
      <c r="E316" t="str">
        <f>VLOOKUP(B316,[1]pivottables!$F$2:$G$52,2,0)</f>
        <v>JPN</v>
      </c>
      <c r="F316">
        <v>4</v>
      </c>
      <c r="G316">
        <f>VLOOKUP(C316,[1]products!$B$2:$E$27,4,0)</f>
        <v>14.94</v>
      </c>
      <c r="H316">
        <f t="shared" si="4"/>
        <v>59.76</v>
      </c>
    </row>
    <row r="317" spans="1:8" x14ac:dyDescent="0.3">
      <c r="A317">
        <v>316</v>
      </c>
      <c r="B317">
        <v>20</v>
      </c>
      <c r="C317">
        <v>123</v>
      </c>
      <c r="D317" s="6">
        <v>42751</v>
      </c>
      <c r="E317" t="str">
        <f>VLOOKUP(B317,[1]pivottables!$F$2:$G$52,2,0)</f>
        <v>FRA</v>
      </c>
      <c r="F317">
        <v>5</v>
      </c>
      <c r="G317">
        <f>VLOOKUP(C317,[1]products!$B$2:$E$27,4,0)</f>
        <v>39.67</v>
      </c>
      <c r="H317">
        <f t="shared" si="4"/>
        <v>198.35000000000002</v>
      </c>
    </row>
    <row r="318" spans="1:8" x14ac:dyDescent="0.3">
      <c r="A318">
        <v>317</v>
      </c>
      <c r="B318">
        <v>37</v>
      </c>
      <c r="C318">
        <v>105</v>
      </c>
      <c r="D318" s="6">
        <v>42176</v>
      </c>
      <c r="E318" t="str">
        <f>VLOOKUP(B318,[1]pivottables!$F$2:$G$52,2,0)</f>
        <v>GBR</v>
      </c>
      <c r="F318">
        <v>2</v>
      </c>
      <c r="G318">
        <f>VLOOKUP(C318,[1]products!$B$2:$E$27,4,0)</f>
        <v>149.93</v>
      </c>
      <c r="H318">
        <f t="shared" si="4"/>
        <v>299.86</v>
      </c>
    </row>
    <row r="319" spans="1:8" x14ac:dyDescent="0.3">
      <c r="A319">
        <v>318</v>
      </c>
      <c r="B319">
        <v>8</v>
      </c>
      <c r="C319">
        <v>101</v>
      </c>
      <c r="D319" s="6">
        <v>42641</v>
      </c>
      <c r="E319" t="str">
        <f>VLOOKUP(B319,[1]pivottables!$F$2:$G$52,2,0)</f>
        <v>CZE</v>
      </c>
      <c r="F319">
        <v>3</v>
      </c>
      <c r="G319">
        <f>VLOOKUP(C319,[1]products!$B$2:$E$27,4,0)</f>
        <v>108.61</v>
      </c>
      <c r="H319">
        <f t="shared" si="4"/>
        <v>325.83</v>
      </c>
    </row>
    <row r="320" spans="1:8" x14ac:dyDescent="0.3">
      <c r="A320">
        <v>319</v>
      </c>
      <c r="B320">
        <v>4</v>
      </c>
      <c r="C320">
        <v>117</v>
      </c>
      <c r="D320" s="6">
        <v>42029</v>
      </c>
      <c r="E320" t="str">
        <f>VLOOKUP(B320,[1]pivottables!$F$2:$G$52,2,0)</f>
        <v>ITA</v>
      </c>
      <c r="F320">
        <v>1</v>
      </c>
      <c r="G320">
        <f>VLOOKUP(C320,[1]products!$B$2:$E$27,4,0)</f>
        <v>47.38</v>
      </c>
      <c r="H320">
        <f t="shared" si="4"/>
        <v>47.38</v>
      </c>
    </row>
    <row r="321" spans="1:8" x14ac:dyDescent="0.3">
      <c r="A321">
        <v>320</v>
      </c>
      <c r="B321">
        <v>49</v>
      </c>
      <c r="C321">
        <v>112</v>
      </c>
      <c r="D321" s="6">
        <v>42550</v>
      </c>
      <c r="E321" t="str">
        <f>VLOOKUP(B321,[1]pivottables!$F$2:$G$52,2,0)</f>
        <v>JPN</v>
      </c>
      <c r="F321">
        <v>2</v>
      </c>
      <c r="G321">
        <f>VLOOKUP(C321,[1]products!$B$2:$E$27,4,0)</f>
        <v>106.3</v>
      </c>
      <c r="H321">
        <f t="shared" si="4"/>
        <v>212.6</v>
      </c>
    </row>
    <row r="322" spans="1:8" x14ac:dyDescent="0.3">
      <c r="A322">
        <v>321</v>
      </c>
      <c r="B322">
        <v>12</v>
      </c>
      <c r="C322">
        <v>125</v>
      </c>
      <c r="D322" s="6">
        <v>42291</v>
      </c>
      <c r="E322" t="str">
        <f>VLOOKUP(B322,[1]pivottables!$F$2:$G$52,2,0)</f>
        <v>FRA</v>
      </c>
      <c r="F322">
        <v>1</v>
      </c>
      <c r="G322">
        <f>VLOOKUP(C322,[1]products!$B$2:$E$27,4,0)</f>
        <v>90.44</v>
      </c>
      <c r="H322">
        <f t="shared" si="4"/>
        <v>90.44</v>
      </c>
    </row>
    <row r="323" spans="1:8" x14ac:dyDescent="0.3">
      <c r="A323">
        <v>322</v>
      </c>
      <c r="B323">
        <v>4</v>
      </c>
      <c r="C323">
        <v>101</v>
      </c>
      <c r="D323" s="6">
        <v>42398</v>
      </c>
      <c r="E323" t="str">
        <f>VLOOKUP(B323,[1]pivottables!$F$2:$G$52,2,0)</f>
        <v>ITA</v>
      </c>
      <c r="F323">
        <v>4</v>
      </c>
      <c r="G323">
        <f>VLOOKUP(C323,[1]products!$B$2:$E$27,4,0)</f>
        <v>108.61</v>
      </c>
      <c r="H323">
        <f t="shared" ref="H323:H386" si="5">G323*F323</f>
        <v>434.44</v>
      </c>
    </row>
    <row r="324" spans="1:8" x14ac:dyDescent="0.3">
      <c r="A324">
        <v>323</v>
      </c>
      <c r="B324">
        <v>8</v>
      </c>
      <c r="C324">
        <v>103</v>
      </c>
      <c r="D324" s="6">
        <v>42438</v>
      </c>
      <c r="E324" t="str">
        <f>VLOOKUP(B324,[1]pivottables!$F$2:$G$52,2,0)</f>
        <v>CZE</v>
      </c>
      <c r="F324">
        <v>1</v>
      </c>
      <c r="G324">
        <f>VLOOKUP(C324,[1]products!$B$2:$E$27,4,0)</f>
        <v>108.96</v>
      </c>
      <c r="H324">
        <f t="shared" si="5"/>
        <v>108.96</v>
      </c>
    </row>
    <row r="325" spans="1:8" x14ac:dyDescent="0.3">
      <c r="A325">
        <v>324</v>
      </c>
      <c r="B325">
        <v>1</v>
      </c>
      <c r="C325">
        <v>116</v>
      </c>
      <c r="D325" s="6">
        <v>42248</v>
      </c>
      <c r="E325" t="str">
        <f>VLOOKUP(B325,[1]pivottables!$F$2:$G$52,2,0)</f>
        <v>FRA</v>
      </c>
      <c r="F325">
        <v>2</v>
      </c>
      <c r="G325">
        <f>VLOOKUP(C325,[1]products!$B$2:$E$27,4,0)</f>
        <v>137.19999999999999</v>
      </c>
      <c r="H325">
        <f t="shared" si="5"/>
        <v>274.39999999999998</v>
      </c>
    </row>
    <row r="326" spans="1:8" x14ac:dyDescent="0.3">
      <c r="A326">
        <v>325</v>
      </c>
      <c r="B326">
        <v>47</v>
      </c>
      <c r="C326">
        <v>114</v>
      </c>
      <c r="D326" s="6">
        <v>42951</v>
      </c>
      <c r="E326" t="str">
        <f>VLOOKUP(B326,[1]pivottables!$F$2:$G$52,2,0)</f>
        <v>CHN</v>
      </c>
      <c r="F326">
        <v>4</v>
      </c>
      <c r="G326">
        <f>VLOOKUP(C326,[1]products!$B$2:$E$27,4,0)</f>
        <v>74.38</v>
      </c>
      <c r="H326">
        <f t="shared" si="5"/>
        <v>297.52</v>
      </c>
    </row>
    <row r="327" spans="1:8" x14ac:dyDescent="0.3">
      <c r="A327">
        <v>326</v>
      </c>
      <c r="B327">
        <v>19</v>
      </c>
      <c r="C327">
        <v>119</v>
      </c>
      <c r="D327" s="6">
        <v>42011</v>
      </c>
      <c r="E327" t="str">
        <f>VLOOKUP(B327,[1]pivottables!$F$2:$G$52,2,0)</f>
        <v>NLD</v>
      </c>
      <c r="F327">
        <v>2</v>
      </c>
      <c r="G327">
        <f>VLOOKUP(C327,[1]products!$B$2:$E$27,4,0)</f>
        <v>74.55</v>
      </c>
      <c r="H327">
        <f t="shared" si="5"/>
        <v>149.1</v>
      </c>
    </row>
    <row r="328" spans="1:8" x14ac:dyDescent="0.3">
      <c r="A328">
        <v>327</v>
      </c>
      <c r="B328">
        <v>9</v>
      </c>
      <c r="C328">
        <v>113</v>
      </c>
      <c r="D328" s="6">
        <v>42784</v>
      </c>
      <c r="E328" t="str">
        <f>VLOOKUP(B328,[1]pivottables!$F$2:$G$52,2,0)</f>
        <v>HUN</v>
      </c>
      <c r="F328">
        <v>5</v>
      </c>
      <c r="G328">
        <f>VLOOKUP(C328,[1]products!$B$2:$E$27,4,0)</f>
        <v>9.89</v>
      </c>
      <c r="H328">
        <f t="shared" si="5"/>
        <v>49.45</v>
      </c>
    </row>
    <row r="329" spans="1:8" x14ac:dyDescent="0.3">
      <c r="A329">
        <v>328</v>
      </c>
      <c r="B329">
        <v>48</v>
      </c>
      <c r="C329">
        <v>102</v>
      </c>
      <c r="D329" s="6">
        <v>42461</v>
      </c>
      <c r="E329" t="str">
        <f>VLOOKUP(B329,[1]pivottables!$F$2:$G$52,2,0)</f>
        <v>GBR</v>
      </c>
      <c r="F329">
        <v>2</v>
      </c>
      <c r="G329">
        <f>VLOOKUP(C329,[1]products!$B$2:$E$27,4,0)</f>
        <v>14.94</v>
      </c>
      <c r="H329">
        <f t="shared" si="5"/>
        <v>29.88</v>
      </c>
    </row>
    <row r="330" spans="1:8" x14ac:dyDescent="0.3">
      <c r="A330">
        <v>329</v>
      </c>
      <c r="B330">
        <v>23</v>
      </c>
      <c r="C330">
        <v>121</v>
      </c>
      <c r="D330" s="6">
        <v>42301</v>
      </c>
      <c r="E330" t="str">
        <f>VLOOKUP(B330,[1]pivottables!$F$2:$G$52,2,0)</f>
        <v>GBR</v>
      </c>
      <c r="F330">
        <v>5</v>
      </c>
      <c r="G330">
        <f>VLOOKUP(C330,[1]products!$B$2:$E$27,4,0)</f>
        <v>49.09</v>
      </c>
      <c r="H330">
        <f t="shared" si="5"/>
        <v>245.45000000000002</v>
      </c>
    </row>
    <row r="331" spans="1:8" x14ac:dyDescent="0.3">
      <c r="A331">
        <v>330</v>
      </c>
      <c r="B331">
        <v>42</v>
      </c>
      <c r="C331">
        <v>101</v>
      </c>
      <c r="D331" s="6">
        <v>42656</v>
      </c>
      <c r="E331" t="str">
        <f>VLOOKUP(B331,[1]pivottables!$F$2:$G$52,2,0)</f>
        <v>HUN</v>
      </c>
      <c r="F331">
        <v>1</v>
      </c>
      <c r="G331">
        <f>VLOOKUP(C331,[1]products!$B$2:$E$27,4,0)</f>
        <v>108.61</v>
      </c>
      <c r="H331">
        <f t="shared" si="5"/>
        <v>108.61</v>
      </c>
    </row>
    <row r="332" spans="1:8" x14ac:dyDescent="0.3">
      <c r="A332">
        <v>331</v>
      </c>
      <c r="B332">
        <v>26</v>
      </c>
      <c r="C332">
        <v>111</v>
      </c>
      <c r="D332" s="6">
        <v>42953</v>
      </c>
      <c r="E332" t="str">
        <f>VLOOKUP(B332,[1]pivottables!$F$2:$G$52,2,0)</f>
        <v>NLD</v>
      </c>
      <c r="F332">
        <v>1</v>
      </c>
      <c r="G332">
        <f>VLOOKUP(C332,[1]products!$B$2:$E$27,4,0)</f>
        <v>149.93</v>
      </c>
      <c r="H332">
        <f t="shared" si="5"/>
        <v>149.93</v>
      </c>
    </row>
    <row r="333" spans="1:8" x14ac:dyDescent="0.3">
      <c r="A333">
        <v>332</v>
      </c>
      <c r="B333">
        <v>46</v>
      </c>
      <c r="C333">
        <v>106</v>
      </c>
      <c r="D333" s="6">
        <v>42508</v>
      </c>
      <c r="E333" t="str">
        <f>VLOOKUP(B333,[1]pivottables!$F$2:$G$52,2,0)</f>
        <v>JPN</v>
      </c>
      <c r="F333">
        <v>5</v>
      </c>
      <c r="G333">
        <f>VLOOKUP(C333,[1]products!$B$2:$E$27,4,0)</f>
        <v>132.88</v>
      </c>
      <c r="H333">
        <f t="shared" si="5"/>
        <v>664.4</v>
      </c>
    </row>
    <row r="334" spans="1:8" x14ac:dyDescent="0.3">
      <c r="A334">
        <v>333</v>
      </c>
      <c r="B334">
        <v>4</v>
      </c>
      <c r="C334">
        <v>105</v>
      </c>
      <c r="D334" s="6">
        <v>42160</v>
      </c>
      <c r="E334" t="str">
        <f>VLOOKUP(B334,[1]pivottables!$F$2:$G$52,2,0)</f>
        <v>ITA</v>
      </c>
      <c r="F334">
        <v>1</v>
      </c>
      <c r="G334">
        <f>VLOOKUP(C334,[1]products!$B$2:$E$27,4,0)</f>
        <v>149.93</v>
      </c>
      <c r="H334">
        <f t="shared" si="5"/>
        <v>149.93</v>
      </c>
    </row>
    <row r="335" spans="1:8" x14ac:dyDescent="0.3">
      <c r="A335">
        <v>334</v>
      </c>
      <c r="B335">
        <v>23</v>
      </c>
      <c r="C335">
        <v>118</v>
      </c>
      <c r="D335" s="6">
        <v>42404</v>
      </c>
      <c r="E335" t="str">
        <f>VLOOKUP(B335,[1]pivottables!$F$2:$G$52,2,0)</f>
        <v>GBR</v>
      </c>
      <c r="F335">
        <v>3</v>
      </c>
      <c r="G335">
        <f>VLOOKUP(C335,[1]products!$B$2:$E$27,4,0)</f>
        <v>56.48</v>
      </c>
      <c r="H335">
        <f t="shared" si="5"/>
        <v>169.44</v>
      </c>
    </row>
    <row r="336" spans="1:8" x14ac:dyDescent="0.3">
      <c r="A336">
        <v>335</v>
      </c>
      <c r="B336">
        <v>46</v>
      </c>
      <c r="C336">
        <v>116</v>
      </c>
      <c r="D336" s="6">
        <v>42731</v>
      </c>
      <c r="E336" t="str">
        <f>VLOOKUP(B336,[1]pivottables!$F$2:$G$52,2,0)</f>
        <v>JPN</v>
      </c>
      <c r="F336">
        <v>4</v>
      </c>
      <c r="G336">
        <f>VLOOKUP(C336,[1]products!$B$2:$E$27,4,0)</f>
        <v>137.19999999999999</v>
      </c>
      <c r="H336">
        <f t="shared" si="5"/>
        <v>548.79999999999995</v>
      </c>
    </row>
    <row r="337" spans="1:8" x14ac:dyDescent="0.3">
      <c r="A337">
        <v>336</v>
      </c>
      <c r="B337">
        <v>17</v>
      </c>
      <c r="C337">
        <v>121</v>
      </c>
      <c r="D337" s="6">
        <v>42648</v>
      </c>
      <c r="E337" t="str">
        <f>VLOOKUP(B337,[1]pivottables!$F$2:$G$52,2,0)</f>
        <v>CAN</v>
      </c>
      <c r="F337">
        <v>5</v>
      </c>
      <c r="G337">
        <f>VLOOKUP(C337,[1]products!$B$2:$E$27,4,0)</f>
        <v>49.09</v>
      </c>
      <c r="H337">
        <f t="shared" si="5"/>
        <v>245.45000000000002</v>
      </c>
    </row>
    <row r="338" spans="1:8" x14ac:dyDescent="0.3">
      <c r="A338">
        <v>337</v>
      </c>
      <c r="B338">
        <v>29</v>
      </c>
      <c r="C338">
        <v>111</v>
      </c>
      <c r="D338" s="6">
        <v>42956</v>
      </c>
      <c r="E338" t="str">
        <f>VLOOKUP(B338,[1]pivottables!$F$2:$G$52,2,0)</f>
        <v>FRA</v>
      </c>
      <c r="F338">
        <v>5</v>
      </c>
      <c r="G338">
        <f>VLOOKUP(C338,[1]products!$B$2:$E$27,4,0)</f>
        <v>149.93</v>
      </c>
      <c r="H338">
        <f t="shared" si="5"/>
        <v>749.65000000000009</v>
      </c>
    </row>
    <row r="339" spans="1:8" x14ac:dyDescent="0.3">
      <c r="A339">
        <v>338</v>
      </c>
      <c r="B339">
        <v>37</v>
      </c>
      <c r="C339">
        <v>116</v>
      </c>
      <c r="D339" s="6">
        <v>42627</v>
      </c>
      <c r="E339" t="str">
        <f>VLOOKUP(B339,[1]pivottables!$F$2:$G$52,2,0)</f>
        <v>GBR</v>
      </c>
      <c r="F339">
        <v>4</v>
      </c>
      <c r="G339">
        <f>VLOOKUP(C339,[1]products!$B$2:$E$27,4,0)</f>
        <v>137.19999999999999</v>
      </c>
      <c r="H339">
        <f t="shared" si="5"/>
        <v>548.79999999999995</v>
      </c>
    </row>
    <row r="340" spans="1:8" x14ac:dyDescent="0.3">
      <c r="A340">
        <v>339</v>
      </c>
      <c r="B340">
        <v>39</v>
      </c>
      <c r="C340">
        <v>110</v>
      </c>
      <c r="D340" s="6">
        <v>42877</v>
      </c>
      <c r="E340" t="str">
        <f>VLOOKUP(B340,[1]pivottables!$F$2:$G$52,2,0)</f>
        <v>GBR</v>
      </c>
      <c r="F340">
        <v>4</v>
      </c>
      <c r="G340">
        <f>VLOOKUP(C340,[1]products!$B$2:$E$27,4,0)</f>
        <v>10.76</v>
      </c>
      <c r="H340">
        <f t="shared" si="5"/>
        <v>43.04</v>
      </c>
    </row>
    <row r="341" spans="1:8" x14ac:dyDescent="0.3">
      <c r="A341">
        <v>340</v>
      </c>
      <c r="B341">
        <v>20</v>
      </c>
      <c r="C341">
        <v>116</v>
      </c>
      <c r="D341" s="6">
        <v>42508</v>
      </c>
      <c r="E341" t="str">
        <f>VLOOKUP(B341,[1]pivottables!$F$2:$G$52,2,0)</f>
        <v>FRA</v>
      </c>
      <c r="F341">
        <v>2</v>
      </c>
      <c r="G341">
        <f>VLOOKUP(C341,[1]products!$B$2:$E$27,4,0)</f>
        <v>137.19999999999999</v>
      </c>
      <c r="H341">
        <f t="shared" si="5"/>
        <v>274.39999999999998</v>
      </c>
    </row>
    <row r="342" spans="1:8" x14ac:dyDescent="0.3">
      <c r="A342">
        <v>341</v>
      </c>
      <c r="B342">
        <v>8</v>
      </c>
      <c r="C342">
        <v>117</v>
      </c>
      <c r="D342" s="6">
        <v>42572</v>
      </c>
      <c r="E342" t="str">
        <f>VLOOKUP(B342,[1]pivottables!$F$2:$G$52,2,0)</f>
        <v>CZE</v>
      </c>
      <c r="F342">
        <v>3</v>
      </c>
      <c r="G342">
        <f>VLOOKUP(C342,[1]products!$B$2:$E$27,4,0)</f>
        <v>47.38</v>
      </c>
      <c r="H342">
        <f t="shared" si="5"/>
        <v>142.14000000000001</v>
      </c>
    </row>
    <row r="343" spans="1:8" x14ac:dyDescent="0.3">
      <c r="A343">
        <v>342</v>
      </c>
      <c r="B343">
        <v>27</v>
      </c>
      <c r="C343">
        <v>121</v>
      </c>
      <c r="D343" s="6">
        <v>42036</v>
      </c>
      <c r="E343" t="str">
        <f>VLOOKUP(B343,[1]pivottables!$F$2:$G$52,2,0)</f>
        <v>ITA</v>
      </c>
      <c r="F343">
        <v>3</v>
      </c>
      <c r="G343">
        <f>VLOOKUP(C343,[1]products!$B$2:$E$27,4,0)</f>
        <v>49.09</v>
      </c>
      <c r="H343">
        <f t="shared" si="5"/>
        <v>147.27000000000001</v>
      </c>
    </row>
    <row r="344" spans="1:8" x14ac:dyDescent="0.3">
      <c r="A344">
        <v>343</v>
      </c>
      <c r="B344">
        <v>28</v>
      </c>
      <c r="C344">
        <v>110</v>
      </c>
      <c r="D344" s="6">
        <v>43051</v>
      </c>
      <c r="E344" t="str">
        <f>VLOOKUP(B344,[1]pivottables!$F$2:$G$52,2,0)</f>
        <v>FRA</v>
      </c>
      <c r="F344">
        <v>5</v>
      </c>
      <c r="G344">
        <f>VLOOKUP(C344,[1]products!$B$2:$E$27,4,0)</f>
        <v>10.76</v>
      </c>
      <c r="H344">
        <f t="shared" si="5"/>
        <v>53.8</v>
      </c>
    </row>
    <row r="345" spans="1:8" x14ac:dyDescent="0.3">
      <c r="A345">
        <v>344</v>
      </c>
      <c r="B345">
        <v>37</v>
      </c>
      <c r="C345">
        <v>102</v>
      </c>
      <c r="D345" s="6">
        <v>42351</v>
      </c>
      <c r="E345" t="str">
        <f>VLOOKUP(B345,[1]pivottables!$F$2:$G$52,2,0)</f>
        <v>GBR</v>
      </c>
      <c r="F345">
        <v>3</v>
      </c>
      <c r="G345">
        <f>VLOOKUP(C345,[1]products!$B$2:$E$27,4,0)</f>
        <v>14.94</v>
      </c>
      <c r="H345">
        <f t="shared" si="5"/>
        <v>44.82</v>
      </c>
    </row>
    <row r="346" spans="1:8" x14ac:dyDescent="0.3">
      <c r="A346">
        <v>345</v>
      </c>
      <c r="B346">
        <v>29</v>
      </c>
      <c r="C346">
        <v>101</v>
      </c>
      <c r="D346" s="6">
        <v>42218</v>
      </c>
      <c r="E346" t="str">
        <f>VLOOKUP(B346,[1]pivottables!$F$2:$G$52,2,0)</f>
        <v>FRA</v>
      </c>
      <c r="F346">
        <v>1</v>
      </c>
      <c r="G346">
        <f>VLOOKUP(C346,[1]products!$B$2:$E$27,4,0)</f>
        <v>108.61</v>
      </c>
      <c r="H346">
        <f t="shared" si="5"/>
        <v>108.61</v>
      </c>
    </row>
    <row r="347" spans="1:8" x14ac:dyDescent="0.3">
      <c r="A347">
        <v>346</v>
      </c>
      <c r="B347">
        <v>34</v>
      </c>
      <c r="C347">
        <v>125</v>
      </c>
      <c r="D347" s="6">
        <v>42203</v>
      </c>
      <c r="E347" t="str">
        <f>VLOOKUP(B347,[1]pivottables!$F$2:$G$52,2,0)</f>
        <v>CAN</v>
      </c>
      <c r="F347">
        <v>2</v>
      </c>
      <c r="G347">
        <f>VLOOKUP(C347,[1]products!$B$2:$E$27,4,0)</f>
        <v>90.44</v>
      </c>
      <c r="H347">
        <f t="shared" si="5"/>
        <v>180.88</v>
      </c>
    </row>
    <row r="348" spans="1:8" x14ac:dyDescent="0.3">
      <c r="A348">
        <v>347</v>
      </c>
      <c r="B348">
        <v>23</v>
      </c>
      <c r="C348">
        <v>110</v>
      </c>
      <c r="D348" s="6">
        <v>42226</v>
      </c>
      <c r="E348" t="str">
        <f>VLOOKUP(B348,[1]pivottables!$F$2:$G$52,2,0)</f>
        <v>GBR</v>
      </c>
      <c r="F348">
        <v>3</v>
      </c>
      <c r="G348">
        <f>VLOOKUP(C348,[1]products!$B$2:$E$27,4,0)</f>
        <v>10.76</v>
      </c>
      <c r="H348">
        <f t="shared" si="5"/>
        <v>32.28</v>
      </c>
    </row>
    <row r="349" spans="1:8" x14ac:dyDescent="0.3">
      <c r="A349">
        <v>348</v>
      </c>
      <c r="B349">
        <v>47</v>
      </c>
      <c r="C349">
        <v>105</v>
      </c>
      <c r="D349" s="6">
        <v>42270</v>
      </c>
      <c r="E349" t="str">
        <f>VLOOKUP(B349,[1]pivottables!$F$2:$G$52,2,0)</f>
        <v>CHN</v>
      </c>
      <c r="F349">
        <v>1</v>
      </c>
      <c r="G349">
        <f>VLOOKUP(C349,[1]products!$B$2:$E$27,4,0)</f>
        <v>149.93</v>
      </c>
      <c r="H349">
        <f t="shared" si="5"/>
        <v>149.93</v>
      </c>
    </row>
    <row r="350" spans="1:8" x14ac:dyDescent="0.3">
      <c r="A350">
        <v>349</v>
      </c>
      <c r="B350">
        <v>25</v>
      </c>
      <c r="C350">
        <v>109</v>
      </c>
      <c r="D350" s="6">
        <v>42029</v>
      </c>
      <c r="E350" t="str">
        <f>VLOOKUP(B350,[1]pivottables!$F$2:$G$52,2,0)</f>
        <v>CHN</v>
      </c>
      <c r="F350">
        <v>2</v>
      </c>
      <c r="G350">
        <f>VLOOKUP(C350,[1]products!$B$2:$E$27,4,0)</f>
        <v>143.97999999999999</v>
      </c>
      <c r="H350">
        <f t="shared" si="5"/>
        <v>287.95999999999998</v>
      </c>
    </row>
    <row r="351" spans="1:8" x14ac:dyDescent="0.3">
      <c r="A351">
        <v>350</v>
      </c>
      <c r="B351">
        <v>3</v>
      </c>
      <c r="C351">
        <v>115</v>
      </c>
      <c r="D351" s="6">
        <v>42061</v>
      </c>
      <c r="E351" t="str">
        <f>VLOOKUP(B351,[1]pivottables!$F$2:$G$52,2,0)</f>
        <v>NLD</v>
      </c>
      <c r="F351">
        <v>4</v>
      </c>
      <c r="G351">
        <f>VLOOKUP(C351,[1]products!$B$2:$E$27,4,0)</f>
        <v>22.55</v>
      </c>
      <c r="H351">
        <f t="shared" si="5"/>
        <v>90.2</v>
      </c>
    </row>
    <row r="352" spans="1:8" x14ac:dyDescent="0.3">
      <c r="A352">
        <v>351</v>
      </c>
      <c r="B352">
        <v>2</v>
      </c>
      <c r="C352">
        <v>100</v>
      </c>
      <c r="D352" s="6">
        <v>42951</v>
      </c>
      <c r="E352" t="str">
        <f>VLOOKUP(B352,[1]pivottables!$F$2:$G$52,2,0)</f>
        <v>CZE</v>
      </c>
      <c r="F352">
        <v>3</v>
      </c>
      <c r="G352">
        <f>VLOOKUP(C352,[1]products!$B$2:$E$27,4,0)</f>
        <v>30.29</v>
      </c>
      <c r="H352">
        <f t="shared" si="5"/>
        <v>90.87</v>
      </c>
    </row>
    <row r="353" spans="1:8" x14ac:dyDescent="0.3">
      <c r="A353">
        <v>352</v>
      </c>
      <c r="B353">
        <v>17</v>
      </c>
      <c r="C353">
        <v>101</v>
      </c>
      <c r="D353" s="6">
        <v>42920</v>
      </c>
      <c r="E353" t="str">
        <f>VLOOKUP(B353,[1]pivottables!$F$2:$G$52,2,0)</f>
        <v>CAN</v>
      </c>
      <c r="F353">
        <v>4</v>
      </c>
      <c r="G353">
        <f>VLOOKUP(C353,[1]products!$B$2:$E$27,4,0)</f>
        <v>108.61</v>
      </c>
      <c r="H353">
        <f t="shared" si="5"/>
        <v>434.44</v>
      </c>
    </row>
    <row r="354" spans="1:8" x14ac:dyDescent="0.3">
      <c r="A354">
        <v>353</v>
      </c>
      <c r="B354">
        <v>35</v>
      </c>
      <c r="C354">
        <v>115</v>
      </c>
      <c r="D354" s="6">
        <v>42611</v>
      </c>
      <c r="E354" t="str">
        <f>VLOOKUP(B354,[1]pivottables!$F$2:$G$52,2,0)</f>
        <v>JPN</v>
      </c>
      <c r="F354">
        <v>1</v>
      </c>
      <c r="G354">
        <f>VLOOKUP(C354,[1]products!$B$2:$E$27,4,0)</f>
        <v>22.55</v>
      </c>
      <c r="H354">
        <f t="shared" si="5"/>
        <v>22.55</v>
      </c>
    </row>
    <row r="355" spans="1:8" x14ac:dyDescent="0.3">
      <c r="A355">
        <v>354</v>
      </c>
      <c r="B355">
        <v>35</v>
      </c>
      <c r="C355">
        <v>118</v>
      </c>
      <c r="D355" s="6">
        <v>42078</v>
      </c>
      <c r="E355" t="str">
        <f>VLOOKUP(B355,[1]pivottables!$F$2:$G$52,2,0)</f>
        <v>JPN</v>
      </c>
      <c r="F355">
        <v>5</v>
      </c>
      <c r="G355">
        <f>VLOOKUP(C355,[1]products!$B$2:$E$27,4,0)</f>
        <v>56.48</v>
      </c>
      <c r="H355">
        <f t="shared" si="5"/>
        <v>282.39999999999998</v>
      </c>
    </row>
    <row r="356" spans="1:8" x14ac:dyDescent="0.3">
      <c r="A356">
        <v>355</v>
      </c>
      <c r="B356">
        <v>24</v>
      </c>
      <c r="C356">
        <v>108</v>
      </c>
      <c r="D356" s="6">
        <v>43042</v>
      </c>
      <c r="E356" t="str">
        <f>VLOOKUP(B356,[1]pivottables!$F$2:$G$52,2,0)</f>
        <v>NLD</v>
      </c>
      <c r="F356">
        <v>1</v>
      </c>
      <c r="G356">
        <f>VLOOKUP(C356,[1]products!$B$2:$E$27,4,0)</f>
        <v>137.97999999999999</v>
      </c>
      <c r="H356">
        <f t="shared" si="5"/>
        <v>137.97999999999999</v>
      </c>
    </row>
    <row r="357" spans="1:8" x14ac:dyDescent="0.3">
      <c r="A357">
        <v>356</v>
      </c>
      <c r="B357">
        <v>19</v>
      </c>
      <c r="C357">
        <v>103</v>
      </c>
      <c r="D357" s="6">
        <v>43010</v>
      </c>
      <c r="E357" t="str">
        <f>VLOOKUP(B357,[1]pivottables!$F$2:$G$52,2,0)</f>
        <v>NLD</v>
      </c>
      <c r="F357">
        <v>5</v>
      </c>
      <c r="G357">
        <f>VLOOKUP(C357,[1]products!$B$2:$E$27,4,0)</f>
        <v>108.96</v>
      </c>
      <c r="H357">
        <f t="shared" si="5"/>
        <v>544.79999999999995</v>
      </c>
    </row>
    <row r="358" spans="1:8" x14ac:dyDescent="0.3">
      <c r="A358">
        <v>357</v>
      </c>
      <c r="B358">
        <v>41</v>
      </c>
      <c r="C358">
        <v>125</v>
      </c>
      <c r="D358" s="6">
        <v>42143</v>
      </c>
      <c r="E358" t="str">
        <f>VLOOKUP(B358,[1]pivottables!$F$2:$G$52,2,0)</f>
        <v>FRA</v>
      </c>
      <c r="F358">
        <v>5</v>
      </c>
      <c r="G358">
        <f>VLOOKUP(C358,[1]products!$B$2:$E$27,4,0)</f>
        <v>90.44</v>
      </c>
      <c r="H358">
        <f t="shared" si="5"/>
        <v>452.2</v>
      </c>
    </row>
    <row r="359" spans="1:8" x14ac:dyDescent="0.3">
      <c r="A359">
        <v>358</v>
      </c>
      <c r="B359">
        <v>48</v>
      </c>
      <c r="C359">
        <v>110</v>
      </c>
      <c r="D359" s="6">
        <v>42407</v>
      </c>
      <c r="E359" t="str">
        <f>VLOOKUP(B359,[1]pivottables!$F$2:$G$52,2,0)</f>
        <v>GBR</v>
      </c>
      <c r="F359">
        <v>4</v>
      </c>
      <c r="G359">
        <f>VLOOKUP(C359,[1]products!$B$2:$E$27,4,0)</f>
        <v>10.76</v>
      </c>
      <c r="H359">
        <f t="shared" si="5"/>
        <v>43.04</v>
      </c>
    </row>
    <row r="360" spans="1:8" x14ac:dyDescent="0.3">
      <c r="A360">
        <v>359</v>
      </c>
      <c r="B360">
        <v>22</v>
      </c>
      <c r="C360">
        <v>113</v>
      </c>
      <c r="D360" s="6">
        <v>42409</v>
      </c>
      <c r="E360" t="str">
        <f>VLOOKUP(B360,[1]pivottables!$F$2:$G$52,2,0)</f>
        <v>FRA</v>
      </c>
      <c r="F360">
        <v>1</v>
      </c>
      <c r="G360">
        <f>VLOOKUP(C360,[1]products!$B$2:$E$27,4,0)</f>
        <v>9.89</v>
      </c>
      <c r="H360">
        <f t="shared" si="5"/>
        <v>9.89</v>
      </c>
    </row>
    <row r="361" spans="1:8" x14ac:dyDescent="0.3">
      <c r="A361">
        <v>360</v>
      </c>
      <c r="B361">
        <v>41</v>
      </c>
      <c r="C361">
        <v>124</v>
      </c>
      <c r="D361" s="6">
        <v>42628</v>
      </c>
      <c r="E361" t="str">
        <f>VLOOKUP(B361,[1]pivottables!$F$2:$G$52,2,0)</f>
        <v>FRA</v>
      </c>
      <c r="F361">
        <v>1</v>
      </c>
      <c r="G361">
        <f>VLOOKUP(C361,[1]products!$B$2:$E$27,4,0)</f>
        <v>108.54</v>
      </c>
      <c r="H361">
        <f t="shared" si="5"/>
        <v>108.54</v>
      </c>
    </row>
    <row r="362" spans="1:8" x14ac:dyDescent="0.3">
      <c r="A362">
        <v>361</v>
      </c>
      <c r="B362">
        <v>37</v>
      </c>
      <c r="C362">
        <v>117</v>
      </c>
      <c r="D362" s="6">
        <v>42216</v>
      </c>
      <c r="E362" t="str">
        <f>VLOOKUP(B362,[1]pivottables!$F$2:$G$52,2,0)</f>
        <v>GBR</v>
      </c>
      <c r="F362">
        <v>3</v>
      </c>
      <c r="G362">
        <f>VLOOKUP(C362,[1]products!$B$2:$E$27,4,0)</f>
        <v>47.38</v>
      </c>
      <c r="H362">
        <f t="shared" si="5"/>
        <v>142.14000000000001</v>
      </c>
    </row>
    <row r="363" spans="1:8" x14ac:dyDescent="0.3">
      <c r="A363">
        <v>362</v>
      </c>
      <c r="B363">
        <v>22</v>
      </c>
      <c r="C363">
        <v>116</v>
      </c>
      <c r="D363" s="6">
        <v>42026</v>
      </c>
      <c r="E363" t="str">
        <f>VLOOKUP(B363,[1]pivottables!$F$2:$G$52,2,0)</f>
        <v>FRA</v>
      </c>
      <c r="F363">
        <v>5</v>
      </c>
      <c r="G363">
        <f>VLOOKUP(C363,[1]products!$B$2:$E$27,4,0)</f>
        <v>137.19999999999999</v>
      </c>
      <c r="H363">
        <f t="shared" si="5"/>
        <v>686</v>
      </c>
    </row>
    <row r="364" spans="1:8" x14ac:dyDescent="0.3">
      <c r="A364">
        <v>363</v>
      </c>
      <c r="B364">
        <v>45</v>
      </c>
      <c r="C364">
        <v>110</v>
      </c>
      <c r="D364" s="6">
        <v>42377</v>
      </c>
      <c r="E364" t="str">
        <f>VLOOKUP(B364,[1]pivottables!$F$2:$G$52,2,0)</f>
        <v>NLD</v>
      </c>
      <c r="F364">
        <v>4</v>
      </c>
      <c r="G364">
        <f>VLOOKUP(C364,[1]products!$B$2:$E$27,4,0)</f>
        <v>10.76</v>
      </c>
      <c r="H364">
        <f t="shared" si="5"/>
        <v>43.04</v>
      </c>
    </row>
    <row r="365" spans="1:8" x14ac:dyDescent="0.3">
      <c r="A365">
        <v>364</v>
      </c>
      <c r="B365">
        <v>33</v>
      </c>
      <c r="C365">
        <v>102</v>
      </c>
      <c r="D365" s="6">
        <v>42766</v>
      </c>
      <c r="E365" t="str">
        <f>VLOOKUP(B365,[1]pivottables!$F$2:$G$52,2,0)</f>
        <v>NLD</v>
      </c>
      <c r="F365">
        <v>4</v>
      </c>
      <c r="G365">
        <f>VLOOKUP(C365,[1]products!$B$2:$E$27,4,0)</f>
        <v>14.94</v>
      </c>
      <c r="H365">
        <f t="shared" si="5"/>
        <v>59.76</v>
      </c>
    </row>
    <row r="366" spans="1:8" x14ac:dyDescent="0.3">
      <c r="A366">
        <v>365</v>
      </c>
      <c r="B366">
        <v>9</v>
      </c>
      <c r="C366">
        <v>121</v>
      </c>
      <c r="D366" s="6">
        <v>43034</v>
      </c>
      <c r="E366" t="str">
        <f>VLOOKUP(B366,[1]pivottables!$F$2:$G$52,2,0)</f>
        <v>HUN</v>
      </c>
      <c r="F366">
        <v>4</v>
      </c>
      <c r="G366">
        <f>VLOOKUP(C366,[1]products!$B$2:$E$27,4,0)</f>
        <v>49.09</v>
      </c>
      <c r="H366">
        <f t="shared" si="5"/>
        <v>196.36</v>
      </c>
    </row>
    <row r="367" spans="1:8" x14ac:dyDescent="0.3">
      <c r="A367">
        <v>366</v>
      </c>
      <c r="B367">
        <v>37</v>
      </c>
      <c r="C367">
        <v>120</v>
      </c>
      <c r="D367" s="6">
        <v>42145</v>
      </c>
      <c r="E367" t="str">
        <f>VLOOKUP(B367,[1]pivottables!$F$2:$G$52,2,0)</f>
        <v>GBR</v>
      </c>
      <c r="F367">
        <v>2</v>
      </c>
      <c r="G367">
        <f>VLOOKUP(C367,[1]products!$B$2:$E$27,4,0)</f>
        <v>17.13</v>
      </c>
      <c r="H367">
        <f t="shared" si="5"/>
        <v>34.26</v>
      </c>
    </row>
    <row r="368" spans="1:8" x14ac:dyDescent="0.3">
      <c r="A368">
        <v>367</v>
      </c>
      <c r="B368">
        <v>11</v>
      </c>
      <c r="C368">
        <v>107</v>
      </c>
      <c r="D368" s="6">
        <v>42289</v>
      </c>
      <c r="E368" t="str">
        <f>VLOOKUP(B368,[1]pivottables!$F$2:$G$52,2,0)</f>
        <v>ITA</v>
      </c>
      <c r="F368">
        <v>3</v>
      </c>
      <c r="G368">
        <f>VLOOKUP(C368,[1]products!$B$2:$E$27,4,0)</f>
        <v>43.1</v>
      </c>
      <c r="H368">
        <f t="shared" si="5"/>
        <v>129.30000000000001</v>
      </c>
    </row>
    <row r="369" spans="1:8" x14ac:dyDescent="0.3">
      <c r="A369">
        <v>368</v>
      </c>
      <c r="B369">
        <v>25</v>
      </c>
      <c r="C369">
        <v>114</v>
      </c>
      <c r="D369" s="6">
        <v>42142</v>
      </c>
      <c r="E369" t="str">
        <f>VLOOKUP(B369,[1]pivottables!$F$2:$G$52,2,0)</f>
        <v>CHN</v>
      </c>
      <c r="F369">
        <v>5</v>
      </c>
      <c r="G369">
        <f>VLOOKUP(C369,[1]products!$B$2:$E$27,4,0)</f>
        <v>74.38</v>
      </c>
      <c r="H369">
        <f t="shared" si="5"/>
        <v>371.9</v>
      </c>
    </row>
    <row r="370" spans="1:8" x14ac:dyDescent="0.3">
      <c r="A370">
        <v>369</v>
      </c>
      <c r="B370">
        <v>49</v>
      </c>
      <c r="C370">
        <v>102</v>
      </c>
      <c r="D370" s="6">
        <v>42994</v>
      </c>
      <c r="E370" t="str">
        <f>VLOOKUP(B370,[1]pivottables!$F$2:$G$52,2,0)</f>
        <v>JPN</v>
      </c>
      <c r="F370">
        <v>5</v>
      </c>
      <c r="G370">
        <f>VLOOKUP(C370,[1]products!$B$2:$E$27,4,0)</f>
        <v>14.94</v>
      </c>
      <c r="H370">
        <f t="shared" si="5"/>
        <v>74.7</v>
      </c>
    </row>
    <row r="371" spans="1:8" x14ac:dyDescent="0.3">
      <c r="A371">
        <v>370</v>
      </c>
      <c r="B371">
        <v>7</v>
      </c>
      <c r="C371">
        <v>111</v>
      </c>
      <c r="D371" s="6">
        <v>42471</v>
      </c>
      <c r="E371" t="str">
        <f>VLOOKUP(B371,[1]pivottables!$F$2:$G$52,2,0)</f>
        <v>CAN</v>
      </c>
      <c r="F371">
        <v>3</v>
      </c>
      <c r="G371">
        <f>VLOOKUP(C371,[1]products!$B$2:$E$27,4,0)</f>
        <v>149.93</v>
      </c>
      <c r="H371">
        <f t="shared" si="5"/>
        <v>449.79</v>
      </c>
    </row>
    <row r="372" spans="1:8" x14ac:dyDescent="0.3">
      <c r="A372">
        <v>371</v>
      </c>
      <c r="B372">
        <v>22</v>
      </c>
      <c r="C372">
        <v>103</v>
      </c>
      <c r="D372" s="6">
        <v>42598</v>
      </c>
      <c r="E372" t="str">
        <f>VLOOKUP(B372,[1]pivottables!$F$2:$G$52,2,0)</f>
        <v>FRA</v>
      </c>
      <c r="F372">
        <v>5</v>
      </c>
      <c r="G372">
        <f>VLOOKUP(C372,[1]products!$B$2:$E$27,4,0)</f>
        <v>108.96</v>
      </c>
      <c r="H372">
        <f t="shared" si="5"/>
        <v>544.79999999999995</v>
      </c>
    </row>
    <row r="373" spans="1:8" x14ac:dyDescent="0.3">
      <c r="A373">
        <v>372</v>
      </c>
      <c r="B373">
        <v>29</v>
      </c>
      <c r="C373">
        <v>107</v>
      </c>
      <c r="D373" s="6">
        <v>42415</v>
      </c>
      <c r="E373" t="str">
        <f>VLOOKUP(B373,[1]pivottables!$F$2:$G$52,2,0)</f>
        <v>FRA</v>
      </c>
      <c r="F373">
        <v>3</v>
      </c>
      <c r="G373">
        <f>VLOOKUP(C373,[1]products!$B$2:$E$27,4,0)</f>
        <v>43.1</v>
      </c>
      <c r="H373">
        <f t="shared" si="5"/>
        <v>129.30000000000001</v>
      </c>
    </row>
    <row r="374" spans="1:8" x14ac:dyDescent="0.3">
      <c r="A374">
        <v>373</v>
      </c>
      <c r="B374">
        <v>39</v>
      </c>
      <c r="C374">
        <v>120</v>
      </c>
      <c r="D374" s="6">
        <v>42806</v>
      </c>
      <c r="E374" t="str">
        <f>VLOOKUP(B374,[1]pivottables!$F$2:$G$52,2,0)</f>
        <v>GBR</v>
      </c>
      <c r="F374">
        <v>5</v>
      </c>
      <c r="G374">
        <f>VLOOKUP(C374,[1]products!$B$2:$E$27,4,0)</f>
        <v>17.13</v>
      </c>
      <c r="H374">
        <f t="shared" si="5"/>
        <v>85.649999999999991</v>
      </c>
    </row>
    <row r="375" spans="1:8" x14ac:dyDescent="0.3">
      <c r="A375">
        <v>374</v>
      </c>
      <c r="B375">
        <v>35</v>
      </c>
      <c r="C375">
        <v>104</v>
      </c>
      <c r="D375" s="6">
        <v>42212</v>
      </c>
      <c r="E375" t="str">
        <f>VLOOKUP(B375,[1]pivottables!$F$2:$G$52,2,0)</f>
        <v>JPN</v>
      </c>
      <c r="F375">
        <v>1</v>
      </c>
      <c r="G375">
        <f>VLOOKUP(C375,[1]products!$B$2:$E$27,4,0)</f>
        <v>122.18</v>
      </c>
      <c r="H375">
        <f t="shared" si="5"/>
        <v>122.18</v>
      </c>
    </row>
    <row r="376" spans="1:8" x14ac:dyDescent="0.3">
      <c r="A376">
        <v>375</v>
      </c>
      <c r="B376">
        <v>48</v>
      </c>
      <c r="C376">
        <v>120</v>
      </c>
      <c r="D376" s="6">
        <v>42632</v>
      </c>
      <c r="E376" t="str">
        <f>VLOOKUP(B376,[1]pivottables!$F$2:$G$52,2,0)</f>
        <v>GBR</v>
      </c>
      <c r="F376">
        <v>4</v>
      </c>
      <c r="G376">
        <f>VLOOKUP(C376,[1]products!$B$2:$E$27,4,0)</f>
        <v>17.13</v>
      </c>
      <c r="H376">
        <f t="shared" si="5"/>
        <v>68.52</v>
      </c>
    </row>
    <row r="377" spans="1:8" x14ac:dyDescent="0.3">
      <c r="A377">
        <v>376</v>
      </c>
      <c r="B377">
        <v>11</v>
      </c>
      <c r="C377">
        <v>124</v>
      </c>
      <c r="D377" s="6">
        <v>42741</v>
      </c>
      <c r="E377" t="str">
        <f>VLOOKUP(B377,[1]pivottables!$F$2:$G$52,2,0)</f>
        <v>ITA</v>
      </c>
      <c r="F377">
        <v>4</v>
      </c>
      <c r="G377">
        <f>VLOOKUP(C377,[1]products!$B$2:$E$27,4,0)</f>
        <v>108.54</v>
      </c>
      <c r="H377">
        <f t="shared" si="5"/>
        <v>434.16</v>
      </c>
    </row>
    <row r="378" spans="1:8" x14ac:dyDescent="0.3">
      <c r="A378">
        <v>377</v>
      </c>
      <c r="B378">
        <v>30</v>
      </c>
      <c r="C378">
        <v>114</v>
      </c>
      <c r="D378" s="6">
        <v>42010</v>
      </c>
      <c r="E378" t="str">
        <f>VLOOKUP(B378,[1]pivottables!$F$2:$G$52,2,0)</f>
        <v>FRA</v>
      </c>
      <c r="F378">
        <v>3</v>
      </c>
      <c r="G378">
        <f>VLOOKUP(C378,[1]products!$B$2:$E$27,4,0)</f>
        <v>74.38</v>
      </c>
      <c r="H378">
        <f t="shared" si="5"/>
        <v>223.14</v>
      </c>
    </row>
    <row r="379" spans="1:8" x14ac:dyDescent="0.3">
      <c r="A379">
        <v>378</v>
      </c>
      <c r="B379">
        <v>22</v>
      </c>
      <c r="C379">
        <v>113</v>
      </c>
      <c r="D379" s="6">
        <v>42160</v>
      </c>
      <c r="E379" t="str">
        <f>VLOOKUP(B379,[1]pivottables!$F$2:$G$52,2,0)</f>
        <v>FRA</v>
      </c>
      <c r="F379">
        <v>4</v>
      </c>
      <c r="G379">
        <f>VLOOKUP(C379,[1]products!$B$2:$E$27,4,0)</f>
        <v>9.89</v>
      </c>
      <c r="H379">
        <f t="shared" si="5"/>
        <v>39.56</v>
      </c>
    </row>
    <row r="380" spans="1:8" x14ac:dyDescent="0.3">
      <c r="A380">
        <v>379</v>
      </c>
      <c r="B380">
        <v>14</v>
      </c>
      <c r="C380">
        <v>103</v>
      </c>
      <c r="D380" s="6">
        <v>42839</v>
      </c>
      <c r="E380" t="str">
        <f>VLOOKUP(B380,[1]pivottables!$F$2:$G$52,2,0)</f>
        <v>CZE</v>
      </c>
      <c r="F380">
        <v>1</v>
      </c>
      <c r="G380">
        <f>VLOOKUP(C380,[1]products!$B$2:$E$27,4,0)</f>
        <v>108.96</v>
      </c>
      <c r="H380">
        <f t="shared" si="5"/>
        <v>108.96</v>
      </c>
    </row>
    <row r="381" spans="1:8" x14ac:dyDescent="0.3">
      <c r="A381">
        <v>380</v>
      </c>
      <c r="B381">
        <v>32</v>
      </c>
      <c r="C381">
        <v>117</v>
      </c>
      <c r="D381" s="6">
        <v>42261</v>
      </c>
      <c r="E381" t="str">
        <f>VLOOKUP(B381,[1]pivottables!$F$2:$G$52,2,0)</f>
        <v>NLD</v>
      </c>
      <c r="F381">
        <v>2</v>
      </c>
      <c r="G381">
        <f>VLOOKUP(C381,[1]products!$B$2:$E$27,4,0)</f>
        <v>47.38</v>
      </c>
      <c r="H381">
        <f t="shared" si="5"/>
        <v>94.76</v>
      </c>
    </row>
    <row r="382" spans="1:8" x14ac:dyDescent="0.3">
      <c r="A382">
        <v>381</v>
      </c>
      <c r="B382">
        <v>39</v>
      </c>
      <c r="C382">
        <v>100</v>
      </c>
      <c r="D382" s="6">
        <v>43015</v>
      </c>
      <c r="E382" t="str">
        <f>VLOOKUP(B382,[1]pivottables!$F$2:$G$52,2,0)</f>
        <v>GBR</v>
      </c>
      <c r="F382">
        <v>1</v>
      </c>
      <c r="G382">
        <f>VLOOKUP(C382,[1]products!$B$2:$E$27,4,0)</f>
        <v>30.29</v>
      </c>
      <c r="H382">
        <f t="shared" si="5"/>
        <v>30.29</v>
      </c>
    </row>
    <row r="383" spans="1:8" x14ac:dyDescent="0.3">
      <c r="A383">
        <v>382</v>
      </c>
      <c r="B383">
        <v>30</v>
      </c>
      <c r="C383">
        <v>110</v>
      </c>
      <c r="D383" s="6">
        <v>42160</v>
      </c>
      <c r="E383" t="str">
        <f>VLOOKUP(B383,[1]pivottables!$F$2:$G$52,2,0)</f>
        <v>FRA</v>
      </c>
      <c r="F383">
        <v>5</v>
      </c>
      <c r="G383">
        <f>VLOOKUP(C383,[1]products!$B$2:$E$27,4,0)</f>
        <v>10.76</v>
      </c>
      <c r="H383">
        <f t="shared" si="5"/>
        <v>53.8</v>
      </c>
    </row>
    <row r="384" spans="1:8" x14ac:dyDescent="0.3">
      <c r="A384">
        <v>383</v>
      </c>
      <c r="B384">
        <v>21</v>
      </c>
      <c r="C384">
        <v>114</v>
      </c>
      <c r="D384" s="6">
        <v>42101</v>
      </c>
      <c r="E384" t="str">
        <f>VLOOKUP(B384,[1]pivottables!$F$2:$G$52,2,0)</f>
        <v>HUN</v>
      </c>
      <c r="F384">
        <v>4</v>
      </c>
      <c r="G384">
        <f>VLOOKUP(C384,[1]products!$B$2:$E$27,4,0)</f>
        <v>74.38</v>
      </c>
      <c r="H384">
        <f t="shared" si="5"/>
        <v>297.52</v>
      </c>
    </row>
    <row r="385" spans="1:8" x14ac:dyDescent="0.3">
      <c r="A385">
        <v>384</v>
      </c>
      <c r="B385">
        <v>19</v>
      </c>
      <c r="C385">
        <v>103</v>
      </c>
      <c r="D385" s="6">
        <v>42558</v>
      </c>
      <c r="E385" t="str">
        <f>VLOOKUP(B385,[1]pivottables!$F$2:$G$52,2,0)</f>
        <v>NLD</v>
      </c>
      <c r="F385">
        <v>2</v>
      </c>
      <c r="G385">
        <f>VLOOKUP(C385,[1]products!$B$2:$E$27,4,0)</f>
        <v>108.96</v>
      </c>
      <c r="H385">
        <f t="shared" si="5"/>
        <v>217.92</v>
      </c>
    </row>
    <row r="386" spans="1:8" x14ac:dyDescent="0.3">
      <c r="A386">
        <v>385</v>
      </c>
      <c r="B386">
        <v>27</v>
      </c>
      <c r="C386">
        <v>122</v>
      </c>
      <c r="D386" s="6">
        <v>42349</v>
      </c>
      <c r="E386" t="str">
        <f>VLOOKUP(B386,[1]pivottables!$F$2:$G$52,2,0)</f>
        <v>ITA</v>
      </c>
      <c r="F386">
        <v>5</v>
      </c>
      <c r="G386">
        <f>VLOOKUP(C386,[1]products!$B$2:$E$27,4,0)</f>
        <v>32.64</v>
      </c>
      <c r="H386">
        <f t="shared" si="5"/>
        <v>163.19999999999999</v>
      </c>
    </row>
    <row r="387" spans="1:8" x14ac:dyDescent="0.3">
      <c r="A387">
        <v>386</v>
      </c>
      <c r="B387">
        <v>10</v>
      </c>
      <c r="C387">
        <v>110</v>
      </c>
      <c r="D387" s="6">
        <v>42510</v>
      </c>
      <c r="E387" t="str">
        <f>VLOOKUP(B387,[1]pivottables!$F$2:$G$52,2,0)</f>
        <v>NLD</v>
      </c>
      <c r="F387">
        <v>4</v>
      </c>
      <c r="G387">
        <f>VLOOKUP(C387,[1]products!$B$2:$E$27,4,0)</f>
        <v>10.76</v>
      </c>
      <c r="H387">
        <f t="shared" ref="H387:H450" si="6">G387*F387</f>
        <v>43.04</v>
      </c>
    </row>
    <row r="388" spans="1:8" x14ac:dyDescent="0.3">
      <c r="A388">
        <v>387</v>
      </c>
      <c r="B388">
        <v>25</v>
      </c>
      <c r="C388">
        <v>101</v>
      </c>
      <c r="D388" s="6">
        <v>42426</v>
      </c>
      <c r="E388" t="str">
        <f>VLOOKUP(B388,[1]pivottables!$F$2:$G$52,2,0)</f>
        <v>CHN</v>
      </c>
      <c r="F388">
        <v>2</v>
      </c>
      <c r="G388">
        <f>VLOOKUP(C388,[1]products!$B$2:$E$27,4,0)</f>
        <v>108.61</v>
      </c>
      <c r="H388">
        <f t="shared" si="6"/>
        <v>217.22</v>
      </c>
    </row>
    <row r="389" spans="1:8" x14ac:dyDescent="0.3">
      <c r="A389">
        <v>388</v>
      </c>
      <c r="B389">
        <v>24</v>
      </c>
      <c r="C389">
        <v>120</v>
      </c>
      <c r="D389" s="6">
        <v>42118</v>
      </c>
      <c r="E389" t="str">
        <f>VLOOKUP(B389,[1]pivottables!$F$2:$G$52,2,0)</f>
        <v>NLD</v>
      </c>
      <c r="F389">
        <v>4</v>
      </c>
      <c r="G389">
        <f>VLOOKUP(C389,[1]products!$B$2:$E$27,4,0)</f>
        <v>17.13</v>
      </c>
      <c r="H389">
        <f t="shared" si="6"/>
        <v>68.52</v>
      </c>
    </row>
    <row r="390" spans="1:8" x14ac:dyDescent="0.3">
      <c r="A390">
        <v>389</v>
      </c>
      <c r="B390">
        <v>29</v>
      </c>
      <c r="C390">
        <v>121</v>
      </c>
      <c r="D390" s="6">
        <v>42582</v>
      </c>
      <c r="E390" t="str">
        <f>VLOOKUP(B390,[1]pivottables!$F$2:$G$52,2,0)</f>
        <v>FRA</v>
      </c>
      <c r="F390">
        <v>2</v>
      </c>
      <c r="G390">
        <f>VLOOKUP(C390,[1]products!$B$2:$E$27,4,0)</f>
        <v>49.09</v>
      </c>
      <c r="H390">
        <f t="shared" si="6"/>
        <v>98.18</v>
      </c>
    </row>
    <row r="391" spans="1:8" x14ac:dyDescent="0.3">
      <c r="A391">
        <v>390</v>
      </c>
      <c r="B391">
        <v>42</v>
      </c>
      <c r="C391">
        <v>104</v>
      </c>
      <c r="D391" s="6">
        <v>42607</v>
      </c>
      <c r="E391" t="str">
        <f>VLOOKUP(B391,[1]pivottables!$F$2:$G$52,2,0)</f>
        <v>HUN</v>
      </c>
      <c r="F391">
        <v>2</v>
      </c>
      <c r="G391">
        <f>VLOOKUP(C391,[1]products!$B$2:$E$27,4,0)</f>
        <v>122.18</v>
      </c>
      <c r="H391">
        <f t="shared" si="6"/>
        <v>244.36</v>
      </c>
    </row>
    <row r="392" spans="1:8" x14ac:dyDescent="0.3">
      <c r="A392">
        <v>391</v>
      </c>
      <c r="B392">
        <v>45</v>
      </c>
      <c r="C392">
        <v>103</v>
      </c>
      <c r="D392" s="6">
        <v>42707</v>
      </c>
      <c r="E392" t="str">
        <f>VLOOKUP(B392,[1]pivottables!$F$2:$G$52,2,0)</f>
        <v>NLD</v>
      </c>
      <c r="F392">
        <v>3</v>
      </c>
      <c r="G392">
        <f>VLOOKUP(C392,[1]products!$B$2:$E$27,4,0)</f>
        <v>108.96</v>
      </c>
      <c r="H392">
        <f t="shared" si="6"/>
        <v>326.88</v>
      </c>
    </row>
    <row r="393" spans="1:8" x14ac:dyDescent="0.3">
      <c r="A393">
        <v>392</v>
      </c>
      <c r="B393">
        <v>5</v>
      </c>
      <c r="C393">
        <v>123</v>
      </c>
      <c r="D393" s="6">
        <v>42973</v>
      </c>
      <c r="E393" t="str">
        <f>VLOOKUP(B393,[1]pivottables!$F$2:$G$52,2,0)</f>
        <v>USA</v>
      </c>
      <c r="F393">
        <v>4</v>
      </c>
      <c r="G393">
        <f>VLOOKUP(C393,[1]products!$B$2:$E$27,4,0)</f>
        <v>39.67</v>
      </c>
      <c r="H393">
        <f t="shared" si="6"/>
        <v>158.68</v>
      </c>
    </row>
    <row r="394" spans="1:8" x14ac:dyDescent="0.3">
      <c r="A394">
        <v>393</v>
      </c>
      <c r="B394">
        <v>14</v>
      </c>
      <c r="C394">
        <v>110</v>
      </c>
      <c r="D394" s="6">
        <v>42283</v>
      </c>
      <c r="E394" t="str">
        <f>VLOOKUP(B394,[1]pivottables!$F$2:$G$52,2,0)</f>
        <v>CZE</v>
      </c>
      <c r="F394">
        <v>3</v>
      </c>
      <c r="G394">
        <f>VLOOKUP(C394,[1]products!$B$2:$E$27,4,0)</f>
        <v>10.76</v>
      </c>
      <c r="H394">
        <f t="shared" si="6"/>
        <v>32.28</v>
      </c>
    </row>
    <row r="395" spans="1:8" x14ac:dyDescent="0.3">
      <c r="A395">
        <v>394</v>
      </c>
      <c r="B395">
        <v>42</v>
      </c>
      <c r="C395">
        <v>115</v>
      </c>
      <c r="D395" s="6">
        <v>42552</v>
      </c>
      <c r="E395" t="str">
        <f>VLOOKUP(B395,[1]pivottables!$F$2:$G$52,2,0)</f>
        <v>HUN</v>
      </c>
      <c r="F395">
        <v>4</v>
      </c>
      <c r="G395">
        <f>VLOOKUP(C395,[1]products!$B$2:$E$27,4,0)</f>
        <v>22.55</v>
      </c>
      <c r="H395">
        <f t="shared" si="6"/>
        <v>90.2</v>
      </c>
    </row>
    <row r="396" spans="1:8" x14ac:dyDescent="0.3">
      <c r="A396">
        <v>395</v>
      </c>
      <c r="B396">
        <v>10</v>
      </c>
      <c r="C396">
        <v>107</v>
      </c>
      <c r="D396" s="6">
        <v>42434</v>
      </c>
      <c r="E396" t="str">
        <f>VLOOKUP(B396,[1]pivottables!$F$2:$G$52,2,0)</f>
        <v>NLD</v>
      </c>
      <c r="F396">
        <v>5</v>
      </c>
      <c r="G396">
        <f>VLOOKUP(C396,[1]products!$B$2:$E$27,4,0)</f>
        <v>43.1</v>
      </c>
      <c r="H396">
        <f t="shared" si="6"/>
        <v>215.5</v>
      </c>
    </row>
    <row r="397" spans="1:8" x14ac:dyDescent="0.3">
      <c r="A397">
        <v>396</v>
      </c>
      <c r="B397">
        <v>8</v>
      </c>
      <c r="C397">
        <v>122</v>
      </c>
      <c r="D397" s="6">
        <v>42675</v>
      </c>
      <c r="E397" t="str">
        <f>VLOOKUP(B397,[1]pivottables!$F$2:$G$52,2,0)</f>
        <v>CZE</v>
      </c>
      <c r="F397">
        <v>2</v>
      </c>
      <c r="G397">
        <f>VLOOKUP(C397,[1]products!$B$2:$E$27,4,0)</f>
        <v>32.64</v>
      </c>
      <c r="H397">
        <f t="shared" si="6"/>
        <v>65.28</v>
      </c>
    </row>
    <row r="398" spans="1:8" x14ac:dyDescent="0.3">
      <c r="A398">
        <v>397</v>
      </c>
      <c r="B398">
        <v>47</v>
      </c>
      <c r="C398">
        <v>119</v>
      </c>
      <c r="D398" s="6">
        <v>42036</v>
      </c>
      <c r="E398" t="str">
        <f>VLOOKUP(B398,[1]pivottables!$F$2:$G$52,2,0)</f>
        <v>CHN</v>
      </c>
      <c r="F398">
        <v>1</v>
      </c>
      <c r="G398">
        <f>VLOOKUP(C398,[1]products!$B$2:$E$27,4,0)</f>
        <v>74.55</v>
      </c>
      <c r="H398">
        <f t="shared" si="6"/>
        <v>74.55</v>
      </c>
    </row>
    <row r="399" spans="1:8" x14ac:dyDescent="0.3">
      <c r="A399">
        <v>398</v>
      </c>
      <c r="B399">
        <v>21</v>
      </c>
      <c r="C399">
        <v>102</v>
      </c>
      <c r="D399" s="6">
        <v>42509</v>
      </c>
      <c r="E399" t="str">
        <f>VLOOKUP(B399,[1]pivottables!$F$2:$G$52,2,0)</f>
        <v>HUN</v>
      </c>
      <c r="F399">
        <v>4</v>
      </c>
      <c r="G399">
        <f>VLOOKUP(C399,[1]products!$B$2:$E$27,4,0)</f>
        <v>14.94</v>
      </c>
      <c r="H399">
        <f t="shared" si="6"/>
        <v>59.76</v>
      </c>
    </row>
    <row r="400" spans="1:8" x14ac:dyDescent="0.3">
      <c r="A400">
        <v>399</v>
      </c>
      <c r="B400">
        <v>44</v>
      </c>
      <c r="C400">
        <v>123</v>
      </c>
      <c r="D400" s="6">
        <v>43026</v>
      </c>
      <c r="E400" t="str">
        <f>VLOOKUP(B400,[1]pivottables!$F$2:$G$52,2,0)</f>
        <v>CHN</v>
      </c>
      <c r="F400">
        <v>2</v>
      </c>
      <c r="G400">
        <f>VLOOKUP(C400,[1]products!$B$2:$E$27,4,0)</f>
        <v>39.67</v>
      </c>
      <c r="H400">
        <f t="shared" si="6"/>
        <v>79.34</v>
      </c>
    </row>
    <row r="401" spans="1:8" x14ac:dyDescent="0.3">
      <c r="A401">
        <v>400</v>
      </c>
      <c r="B401">
        <v>23</v>
      </c>
      <c r="C401">
        <v>118</v>
      </c>
      <c r="D401" s="6">
        <v>42543</v>
      </c>
      <c r="E401" t="str">
        <f>VLOOKUP(B401,[1]pivottables!$F$2:$G$52,2,0)</f>
        <v>GBR</v>
      </c>
      <c r="F401">
        <v>5</v>
      </c>
      <c r="G401">
        <f>VLOOKUP(C401,[1]products!$B$2:$E$27,4,0)</f>
        <v>56.48</v>
      </c>
      <c r="H401">
        <f t="shared" si="6"/>
        <v>282.39999999999998</v>
      </c>
    </row>
    <row r="402" spans="1:8" x14ac:dyDescent="0.3">
      <c r="A402">
        <v>401</v>
      </c>
      <c r="B402">
        <v>33</v>
      </c>
      <c r="C402">
        <v>120</v>
      </c>
      <c r="D402" s="6">
        <v>42467</v>
      </c>
      <c r="E402" t="str">
        <f>VLOOKUP(B402,[1]pivottables!$F$2:$G$52,2,0)</f>
        <v>NLD</v>
      </c>
      <c r="F402">
        <v>3</v>
      </c>
      <c r="G402">
        <f>VLOOKUP(C402,[1]products!$B$2:$E$27,4,0)</f>
        <v>17.13</v>
      </c>
      <c r="H402">
        <f t="shared" si="6"/>
        <v>51.39</v>
      </c>
    </row>
    <row r="403" spans="1:8" x14ac:dyDescent="0.3">
      <c r="A403">
        <v>402</v>
      </c>
      <c r="B403">
        <v>41</v>
      </c>
      <c r="C403">
        <v>117</v>
      </c>
      <c r="D403" s="6">
        <v>42306</v>
      </c>
      <c r="E403" t="str">
        <f>VLOOKUP(B403,[1]pivottables!$F$2:$G$52,2,0)</f>
        <v>FRA</v>
      </c>
      <c r="F403">
        <v>5</v>
      </c>
      <c r="G403">
        <f>VLOOKUP(C403,[1]products!$B$2:$E$27,4,0)</f>
        <v>47.38</v>
      </c>
      <c r="H403">
        <f t="shared" si="6"/>
        <v>236.9</v>
      </c>
    </row>
    <row r="404" spans="1:8" x14ac:dyDescent="0.3">
      <c r="A404">
        <v>403</v>
      </c>
      <c r="B404">
        <v>45</v>
      </c>
      <c r="C404">
        <v>116</v>
      </c>
      <c r="D404" s="6">
        <v>42842</v>
      </c>
      <c r="E404" t="str">
        <f>VLOOKUP(B404,[1]pivottables!$F$2:$G$52,2,0)</f>
        <v>NLD</v>
      </c>
      <c r="F404">
        <v>2</v>
      </c>
      <c r="G404">
        <f>VLOOKUP(C404,[1]products!$B$2:$E$27,4,0)</f>
        <v>137.19999999999999</v>
      </c>
      <c r="H404">
        <f t="shared" si="6"/>
        <v>274.39999999999998</v>
      </c>
    </row>
    <row r="405" spans="1:8" x14ac:dyDescent="0.3">
      <c r="A405">
        <v>404</v>
      </c>
      <c r="B405">
        <v>46</v>
      </c>
      <c r="C405">
        <v>108</v>
      </c>
      <c r="D405" s="6">
        <v>42355</v>
      </c>
      <c r="E405" t="str">
        <f>VLOOKUP(B405,[1]pivottables!$F$2:$G$52,2,0)</f>
        <v>JPN</v>
      </c>
      <c r="F405">
        <v>2</v>
      </c>
      <c r="G405">
        <f>VLOOKUP(C405,[1]products!$B$2:$E$27,4,0)</f>
        <v>137.97999999999999</v>
      </c>
      <c r="H405">
        <f t="shared" si="6"/>
        <v>275.95999999999998</v>
      </c>
    </row>
    <row r="406" spans="1:8" x14ac:dyDescent="0.3">
      <c r="A406">
        <v>405</v>
      </c>
      <c r="B406">
        <v>34</v>
      </c>
      <c r="C406">
        <v>114</v>
      </c>
      <c r="D406" s="6">
        <v>42445</v>
      </c>
      <c r="E406" t="str">
        <f>VLOOKUP(B406,[1]pivottables!$F$2:$G$52,2,0)</f>
        <v>CAN</v>
      </c>
      <c r="F406">
        <v>5</v>
      </c>
      <c r="G406">
        <f>VLOOKUP(C406,[1]products!$B$2:$E$27,4,0)</f>
        <v>74.38</v>
      </c>
      <c r="H406">
        <f t="shared" si="6"/>
        <v>371.9</v>
      </c>
    </row>
    <row r="407" spans="1:8" x14ac:dyDescent="0.3">
      <c r="A407">
        <v>406</v>
      </c>
      <c r="B407">
        <v>2</v>
      </c>
      <c r="C407">
        <v>124</v>
      </c>
      <c r="D407" s="6">
        <v>43069</v>
      </c>
      <c r="E407" t="str">
        <f>VLOOKUP(B407,[1]pivottables!$F$2:$G$52,2,0)</f>
        <v>CZE</v>
      </c>
      <c r="F407">
        <v>2</v>
      </c>
      <c r="G407">
        <f>VLOOKUP(C407,[1]products!$B$2:$E$27,4,0)</f>
        <v>108.54</v>
      </c>
      <c r="H407">
        <f t="shared" si="6"/>
        <v>217.08</v>
      </c>
    </row>
    <row r="408" spans="1:8" x14ac:dyDescent="0.3">
      <c r="A408">
        <v>407</v>
      </c>
      <c r="B408">
        <v>49</v>
      </c>
      <c r="C408">
        <v>111</v>
      </c>
      <c r="D408" s="6">
        <v>42715</v>
      </c>
      <c r="E408" t="str">
        <f>VLOOKUP(B408,[1]pivottables!$F$2:$G$52,2,0)</f>
        <v>JPN</v>
      </c>
      <c r="F408">
        <v>3</v>
      </c>
      <c r="G408">
        <f>VLOOKUP(C408,[1]products!$B$2:$E$27,4,0)</f>
        <v>149.93</v>
      </c>
      <c r="H408">
        <f t="shared" si="6"/>
        <v>449.79</v>
      </c>
    </row>
    <row r="409" spans="1:8" x14ac:dyDescent="0.3">
      <c r="A409">
        <v>408</v>
      </c>
      <c r="B409">
        <v>45</v>
      </c>
      <c r="C409">
        <v>123</v>
      </c>
      <c r="D409" s="6">
        <v>42099</v>
      </c>
      <c r="E409" t="str">
        <f>VLOOKUP(B409,[1]pivottables!$F$2:$G$52,2,0)</f>
        <v>NLD</v>
      </c>
      <c r="F409">
        <v>1</v>
      </c>
      <c r="G409">
        <f>VLOOKUP(C409,[1]products!$B$2:$E$27,4,0)</f>
        <v>39.67</v>
      </c>
      <c r="H409">
        <f t="shared" si="6"/>
        <v>39.67</v>
      </c>
    </row>
    <row r="410" spans="1:8" x14ac:dyDescent="0.3">
      <c r="A410">
        <v>409</v>
      </c>
      <c r="B410">
        <v>46</v>
      </c>
      <c r="C410">
        <v>111</v>
      </c>
      <c r="D410" s="6">
        <v>42381</v>
      </c>
      <c r="E410" t="str">
        <f>VLOOKUP(B410,[1]pivottables!$F$2:$G$52,2,0)</f>
        <v>JPN</v>
      </c>
      <c r="F410">
        <v>4</v>
      </c>
      <c r="G410">
        <f>VLOOKUP(C410,[1]products!$B$2:$E$27,4,0)</f>
        <v>149.93</v>
      </c>
      <c r="H410">
        <f t="shared" si="6"/>
        <v>599.72</v>
      </c>
    </row>
    <row r="411" spans="1:8" x14ac:dyDescent="0.3">
      <c r="A411">
        <v>410</v>
      </c>
      <c r="B411">
        <v>27</v>
      </c>
      <c r="C411">
        <v>117</v>
      </c>
      <c r="D411" s="6">
        <v>42446</v>
      </c>
      <c r="E411" t="str">
        <f>VLOOKUP(B411,[1]pivottables!$F$2:$G$52,2,0)</f>
        <v>ITA</v>
      </c>
      <c r="F411">
        <v>5</v>
      </c>
      <c r="G411">
        <f>VLOOKUP(C411,[1]products!$B$2:$E$27,4,0)</f>
        <v>47.38</v>
      </c>
      <c r="H411">
        <f t="shared" si="6"/>
        <v>236.9</v>
      </c>
    </row>
    <row r="412" spans="1:8" x14ac:dyDescent="0.3">
      <c r="A412">
        <v>411</v>
      </c>
      <c r="B412">
        <v>32</v>
      </c>
      <c r="C412">
        <v>123</v>
      </c>
      <c r="D412" s="6">
        <v>42011</v>
      </c>
      <c r="E412" t="str">
        <f>VLOOKUP(B412,[1]pivottables!$F$2:$G$52,2,0)</f>
        <v>NLD</v>
      </c>
      <c r="F412">
        <v>3</v>
      </c>
      <c r="G412">
        <f>VLOOKUP(C412,[1]products!$B$2:$E$27,4,0)</f>
        <v>39.67</v>
      </c>
      <c r="H412">
        <f t="shared" si="6"/>
        <v>119.01</v>
      </c>
    </row>
    <row r="413" spans="1:8" x14ac:dyDescent="0.3">
      <c r="A413">
        <v>412</v>
      </c>
      <c r="B413">
        <v>26</v>
      </c>
      <c r="C413">
        <v>101</v>
      </c>
      <c r="D413" s="6">
        <v>42457</v>
      </c>
      <c r="E413" t="str">
        <f>VLOOKUP(B413,[1]pivottables!$F$2:$G$52,2,0)</f>
        <v>NLD</v>
      </c>
      <c r="F413">
        <v>4</v>
      </c>
      <c r="G413">
        <f>VLOOKUP(C413,[1]products!$B$2:$E$27,4,0)</f>
        <v>108.61</v>
      </c>
      <c r="H413">
        <f t="shared" si="6"/>
        <v>434.44</v>
      </c>
    </row>
    <row r="414" spans="1:8" x14ac:dyDescent="0.3">
      <c r="A414">
        <v>413</v>
      </c>
      <c r="B414">
        <v>16</v>
      </c>
      <c r="C414">
        <v>122</v>
      </c>
      <c r="D414" s="6">
        <v>42359</v>
      </c>
      <c r="E414" t="str">
        <f>VLOOKUP(B414,[1]pivottables!$F$2:$G$52,2,0)</f>
        <v>JPN</v>
      </c>
      <c r="F414">
        <v>3</v>
      </c>
      <c r="G414">
        <f>VLOOKUP(C414,[1]products!$B$2:$E$27,4,0)</f>
        <v>32.64</v>
      </c>
      <c r="H414">
        <f t="shared" si="6"/>
        <v>97.92</v>
      </c>
    </row>
    <row r="415" spans="1:8" x14ac:dyDescent="0.3">
      <c r="A415">
        <v>414</v>
      </c>
      <c r="B415">
        <v>10</v>
      </c>
      <c r="C415">
        <v>110</v>
      </c>
      <c r="D415" s="6">
        <v>42205</v>
      </c>
      <c r="E415" t="str">
        <f>VLOOKUP(B415,[1]pivottables!$F$2:$G$52,2,0)</f>
        <v>NLD</v>
      </c>
      <c r="F415">
        <v>4</v>
      </c>
      <c r="G415">
        <f>VLOOKUP(C415,[1]products!$B$2:$E$27,4,0)</f>
        <v>10.76</v>
      </c>
      <c r="H415">
        <f t="shared" si="6"/>
        <v>43.04</v>
      </c>
    </row>
    <row r="416" spans="1:8" x14ac:dyDescent="0.3">
      <c r="A416">
        <v>415</v>
      </c>
      <c r="B416">
        <v>7</v>
      </c>
      <c r="C416">
        <v>117</v>
      </c>
      <c r="D416" s="6">
        <v>42409</v>
      </c>
      <c r="E416" t="str">
        <f>VLOOKUP(B416,[1]pivottables!$F$2:$G$52,2,0)</f>
        <v>CAN</v>
      </c>
      <c r="F416">
        <v>5</v>
      </c>
      <c r="G416">
        <f>VLOOKUP(C416,[1]products!$B$2:$E$27,4,0)</f>
        <v>47.38</v>
      </c>
      <c r="H416">
        <f t="shared" si="6"/>
        <v>236.9</v>
      </c>
    </row>
    <row r="417" spans="1:8" x14ac:dyDescent="0.3">
      <c r="A417">
        <v>416</v>
      </c>
      <c r="B417">
        <v>17</v>
      </c>
      <c r="C417">
        <v>121</v>
      </c>
      <c r="D417" s="6">
        <v>42086</v>
      </c>
      <c r="E417" t="str">
        <f>VLOOKUP(B417,[1]pivottables!$F$2:$G$52,2,0)</f>
        <v>CAN</v>
      </c>
      <c r="F417">
        <v>5</v>
      </c>
      <c r="G417">
        <f>VLOOKUP(C417,[1]products!$B$2:$E$27,4,0)</f>
        <v>49.09</v>
      </c>
      <c r="H417">
        <f t="shared" si="6"/>
        <v>245.45000000000002</v>
      </c>
    </row>
    <row r="418" spans="1:8" x14ac:dyDescent="0.3">
      <c r="A418">
        <v>417</v>
      </c>
      <c r="B418">
        <v>49</v>
      </c>
      <c r="C418">
        <v>124</v>
      </c>
      <c r="D418" s="6">
        <v>42957</v>
      </c>
      <c r="E418" t="str">
        <f>VLOOKUP(B418,[1]pivottables!$F$2:$G$52,2,0)</f>
        <v>JPN</v>
      </c>
      <c r="F418">
        <v>2</v>
      </c>
      <c r="G418">
        <f>VLOOKUP(C418,[1]products!$B$2:$E$27,4,0)</f>
        <v>108.54</v>
      </c>
      <c r="H418">
        <f t="shared" si="6"/>
        <v>217.08</v>
      </c>
    </row>
    <row r="419" spans="1:8" x14ac:dyDescent="0.3">
      <c r="A419">
        <v>418</v>
      </c>
      <c r="B419">
        <v>7</v>
      </c>
      <c r="C419">
        <v>120</v>
      </c>
      <c r="D419" s="6">
        <v>42039</v>
      </c>
      <c r="E419" t="str">
        <f>VLOOKUP(B419,[1]pivottables!$F$2:$G$52,2,0)</f>
        <v>CAN</v>
      </c>
      <c r="F419">
        <v>3</v>
      </c>
      <c r="G419">
        <f>VLOOKUP(C419,[1]products!$B$2:$E$27,4,0)</f>
        <v>17.13</v>
      </c>
      <c r="H419">
        <f t="shared" si="6"/>
        <v>51.39</v>
      </c>
    </row>
    <row r="420" spans="1:8" x14ac:dyDescent="0.3">
      <c r="A420">
        <v>419</v>
      </c>
      <c r="B420">
        <v>32</v>
      </c>
      <c r="C420">
        <v>108</v>
      </c>
      <c r="D420" s="6">
        <v>42441</v>
      </c>
      <c r="E420" t="str">
        <f>VLOOKUP(B420,[1]pivottables!$F$2:$G$52,2,0)</f>
        <v>NLD</v>
      </c>
      <c r="F420">
        <v>5</v>
      </c>
      <c r="G420">
        <f>VLOOKUP(C420,[1]products!$B$2:$E$27,4,0)</f>
        <v>137.97999999999999</v>
      </c>
      <c r="H420">
        <f t="shared" si="6"/>
        <v>689.9</v>
      </c>
    </row>
    <row r="421" spans="1:8" x14ac:dyDescent="0.3">
      <c r="A421">
        <v>420</v>
      </c>
      <c r="B421">
        <v>50</v>
      </c>
      <c r="C421">
        <v>112</v>
      </c>
      <c r="D421" s="6">
        <v>43070</v>
      </c>
      <c r="E421" t="str">
        <f>VLOOKUP(B421,[1]pivottables!$F$2:$G$52,2,0)</f>
        <v>NLD</v>
      </c>
      <c r="F421">
        <v>2</v>
      </c>
      <c r="G421">
        <f>VLOOKUP(C421,[1]products!$B$2:$E$27,4,0)</f>
        <v>106.3</v>
      </c>
      <c r="H421">
        <f t="shared" si="6"/>
        <v>212.6</v>
      </c>
    </row>
    <row r="422" spans="1:8" x14ac:dyDescent="0.3">
      <c r="A422">
        <v>421</v>
      </c>
      <c r="B422">
        <v>44</v>
      </c>
      <c r="C422">
        <v>102</v>
      </c>
      <c r="D422" s="6">
        <v>42048</v>
      </c>
      <c r="E422" t="str">
        <f>VLOOKUP(B422,[1]pivottables!$F$2:$G$52,2,0)</f>
        <v>CHN</v>
      </c>
      <c r="F422">
        <v>3</v>
      </c>
      <c r="G422">
        <f>VLOOKUP(C422,[1]products!$B$2:$E$27,4,0)</f>
        <v>14.94</v>
      </c>
      <c r="H422">
        <f t="shared" si="6"/>
        <v>44.82</v>
      </c>
    </row>
    <row r="423" spans="1:8" x14ac:dyDescent="0.3">
      <c r="A423">
        <v>422</v>
      </c>
      <c r="B423">
        <v>25</v>
      </c>
      <c r="C423">
        <v>109</v>
      </c>
      <c r="D423" s="6">
        <v>42531</v>
      </c>
      <c r="E423" t="str">
        <f>VLOOKUP(B423,[1]pivottables!$F$2:$G$52,2,0)</f>
        <v>CHN</v>
      </c>
      <c r="F423">
        <v>2</v>
      </c>
      <c r="G423">
        <f>VLOOKUP(C423,[1]products!$B$2:$E$27,4,0)</f>
        <v>143.97999999999999</v>
      </c>
      <c r="H423">
        <f t="shared" si="6"/>
        <v>287.95999999999998</v>
      </c>
    </row>
    <row r="424" spans="1:8" x14ac:dyDescent="0.3">
      <c r="A424">
        <v>423</v>
      </c>
      <c r="B424">
        <v>1</v>
      </c>
      <c r="C424">
        <v>105</v>
      </c>
      <c r="D424" s="6">
        <v>42336</v>
      </c>
      <c r="E424" t="str">
        <f>VLOOKUP(B424,[1]pivottables!$F$2:$G$52,2,0)</f>
        <v>FRA</v>
      </c>
      <c r="F424">
        <v>4</v>
      </c>
      <c r="G424">
        <f>VLOOKUP(C424,[1]products!$B$2:$E$27,4,0)</f>
        <v>149.93</v>
      </c>
      <c r="H424">
        <f t="shared" si="6"/>
        <v>599.72</v>
      </c>
    </row>
    <row r="425" spans="1:8" x14ac:dyDescent="0.3">
      <c r="A425">
        <v>424</v>
      </c>
      <c r="B425">
        <v>35</v>
      </c>
      <c r="C425">
        <v>109</v>
      </c>
      <c r="D425" s="6">
        <v>42245</v>
      </c>
      <c r="E425" t="str">
        <f>VLOOKUP(B425,[1]pivottables!$F$2:$G$52,2,0)</f>
        <v>JPN</v>
      </c>
      <c r="F425">
        <v>3</v>
      </c>
      <c r="G425">
        <f>VLOOKUP(C425,[1]products!$B$2:$E$27,4,0)</f>
        <v>143.97999999999999</v>
      </c>
      <c r="H425">
        <f t="shared" si="6"/>
        <v>431.93999999999994</v>
      </c>
    </row>
    <row r="426" spans="1:8" x14ac:dyDescent="0.3">
      <c r="A426">
        <v>425</v>
      </c>
      <c r="B426">
        <v>33</v>
      </c>
      <c r="C426">
        <v>110</v>
      </c>
      <c r="D426" s="6">
        <v>42439</v>
      </c>
      <c r="E426" t="str">
        <f>VLOOKUP(B426,[1]pivottables!$F$2:$G$52,2,0)</f>
        <v>NLD</v>
      </c>
      <c r="F426">
        <v>3</v>
      </c>
      <c r="G426">
        <f>VLOOKUP(C426,[1]products!$B$2:$E$27,4,0)</f>
        <v>10.76</v>
      </c>
      <c r="H426">
        <f t="shared" si="6"/>
        <v>32.28</v>
      </c>
    </row>
    <row r="427" spans="1:8" x14ac:dyDescent="0.3">
      <c r="A427">
        <v>426</v>
      </c>
      <c r="B427">
        <v>40</v>
      </c>
      <c r="C427">
        <v>120</v>
      </c>
      <c r="D427" s="6">
        <v>42366</v>
      </c>
      <c r="E427" t="str">
        <f>VLOOKUP(B427,[1]pivottables!$F$2:$G$52,2,0)</f>
        <v>JPN</v>
      </c>
      <c r="F427">
        <v>2</v>
      </c>
      <c r="G427">
        <f>VLOOKUP(C427,[1]products!$B$2:$E$27,4,0)</f>
        <v>17.13</v>
      </c>
      <c r="H427">
        <f t="shared" si="6"/>
        <v>34.26</v>
      </c>
    </row>
    <row r="428" spans="1:8" x14ac:dyDescent="0.3">
      <c r="A428">
        <v>427</v>
      </c>
      <c r="B428">
        <v>44</v>
      </c>
      <c r="C428">
        <v>115</v>
      </c>
      <c r="D428" s="6">
        <v>42314</v>
      </c>
      <c r="E428" t="str">
        <f>VLOOKUP(B428,[1]pivottables!$F$2:$G$52,2,0)</f>
        <v>CHN</v>
      </c>
      <c r="F428">
        <v>3</v>
      </c>
      <c r="G428">
        <f>VLOOKUP(C428,[1]products!$B$2:$E$27,4,0)</f>
        <v>22.55</v>
      </c>
      <c r="H428">
        <f t="shared" si="6"/>
        <v>67.650000000000006</v>
      </c>
    </row>
    <row r="429" spans="1:8" x14ac:dyDescent="0.3">
      <c r="A429">
        <v>428</v>
      </c>
      <c r="B429">
        <v>38</v>
      </c>
      <c r="C429">
        <v>100</v>
      </c>
      <c r="D429" s="6">
        <v>43061</v>
      </c>
      <c r="E429" t="str">
        <f>VLOOKUP(B429,[1]pivottables!$F$2:$G$52,2,0)</f>
        <v>USA</v>
      </c>
      <c r="F429">
        <v>4</v>
      </c>
      <c r="G429">
        <f>VLOOKUP(C429,[1]products!$B$2:$E$27,4,0)</f>
        <v>30.29</v>
      </c>
      <c r="H429">
        <f t="shared" si="6"/>
        <v>121.16</v>
      </c>
    </row>
    <row r="430" spans="1:8" x14ac:dyDescent="0.3">
      <c r="A430">
        <v>429</v>
      </c>
      <c r="B430">
        <v>42</v>
      </c>
      <c r="C430">
        <v>103</v>
      </c>
      <c r="D430" s="6">
        <v>42051</v>
      </c>
      <c r="E430" t="str">
        <f>VLOOKUP(B430,[1]pivottables!$F$2:$G$52,2,0)</f>
        <v>HUN</v>
      </c>
      <c r="F430">
        <v>2</v>
      </c>
      <c r="G430">
        <f>VLOOKUP(C430,[1]products!$B$2:$E$27,4,0)</f>
        <v>108.96</v>
      </c>
      <c r="H430">
        <f t="shared" si="6"/>
        <v>217.92</v>
      </c>
    </row>
    <row r="431" spans="1:8" x14ac:dyDescent="0.3">
      <c r="A431">
        <v>430</v>
      </c>
      <c r="B431">
        <v>32</v>
      </c>
      <c r="C431">
        <v>116</v>
      </c>
      <c r="D431" s="6">
        <v>42031</v>
      </c>
      <c r="E431" t="str">
        <f>VLOOKUP(B431,[1]pivottables!$F$2:$G$52,2,0)</f>
        <v>NLD</v>
      </c>
      <c r="F431">
        <v>5</v>
      </c>
      <c r="G431">
        <f>VLOOKUP(C431,[1]products!$B$2:$E$27,4,0)</f>
        <v>137.19999999999999</v>
      </c>
      <c r="H431">
        <f t="shared" si="6"/>
        <v>686</v>
      </c>
    </row>
    <row r="432" spans="1:8" x14ac:dyDescent="0.3">
      <c r="A432">
        <v>431</v>
      </c>
      <c r="B432">
        <v>8</v>
      </c>
      <c r="C432">
        <v>107</v>
      </c>
      <c r="D432" s="6">
        <v>42248</v>
      </c>
      <c r="E432" t="str">
        <f>VLOOKUP(B432,[1]pivottables!$F$2:$G$52,2,0)</f>
        <v>CZE</v>
      </c>
      <c r="F432">
        <v>2</v>
      </c>
      <c r="G432">
        <f>VLOOKUP(C432,[1]products!$B$2:$E$27,4,0)</f>
        <v>43.1</v>
      </c>
      <c r="H432">
        <f t="shared" si="6"/>
        <v>86.2</v>
      </c>
    </row>
    <row r="433" spans="1:8" x14ac:dyDescent="0.3">
      <c r="A433">
        <v>432</v>
      </c>
      <c r="B433">
        <v>46</v>
      </c>
      <c r="C433">
        <v>119</v>
      </c>
      <c r="D433" s="6">
        <v>42750</v>
      </c>
      <c r="E433" t="str">
        <f>VLOOKUP(B433,[1]pivottables!$F$2:$G$52,2,0)</f>
        <v>JPN</v>
      </c>
      <c r="F433">
        <v>1</v>
      </c>
      <c r="G433">
        <f>VLOOKUP(C433,[1]products!$B$2:$E$27,4,0)</f>
        <v>74.55</v>
      </c>
      <c r="H433">
        <f t="shared" si="6"/>
        <v>74.55</v>
      </c>
    </row>
    <row r="434" spans="1:8" x14ac:dyDescent="0.3">
      <c r="A434">
        <v>433</v>
      </c>
      <c r="B434">
        <v>45</v>
      </c>
      <c r="C434">
        <v>111</v>
      </c>
      <c r="D434" s="6">
        <v>42820</v>
      </c>
      <c r="E434" t="str">
        <f>VLOOKUP(B434,[1]pivottables!$F$2:$G$52,2,0)</f>
        <v>NLD</v>
      </c>
      <c r="F434">
        <v>1</v>
      </c>
      <c r="G434">
        <f>VLOOKUP(C434,[1]products!$B$2:$E$27,4,0)</f>
        <v>149.93</v>
      </c>
      <c r="H434">
        <f t="shared" si="6"/>
        <v>149.93</v>
      </c>
    </row>
    <row r="435" spans="1:8" x14ac:dyDescent="0.3">
      <c r="A435">
        <v>434</v>
      </c>
      <c r="B435">
        <v>17</v>
      </c>
      <c r="C435">
        <v>107</v>
      </c>
      <c r="D435" s="6">
        <v>42563</v>
      </c>
      <c r="E435" t="str">
        <f>VLOOKUP(B435,[1]pivottables!$F$2:$G$52,2,0)</f>
        <v>CAN</v>
      </c>
      <c r="F435">
        <v>2</v>
      </c>
      <c r="G435">
        <f>VLOOKUP(C435,[1]products!$B$2:$E$27,4,0)</f>
        <v>43.1</v>
      </c>
      <c r="H435">
        <f t="shared" si="6"/>
        <v>86.2</v>
      </c>
    </row>
    <row r="436" spans="1:8" x14ac:dyDescent="0.3">
      <c r="A436">
        <v>435</v>
      </c>
      <c r="B436">
        <v>19</v>
      </c>
      <c r="C436">
        <v>107</v>
      </c>
      <c r="D436" s="6">
        <v>42739</v>
      </c>
      <c r="E436" t="str">
        <f>VLOOKUP(B436,[1]pivottables!$F$2:$G$52,2,0)</f>
        <v>NLD</v>
      </c>
      <c r="F436">
        <v>1</v>
      </c>
      <c r="G436">
        <f>VLOOKUP(C436,[1]products!$B$2:$E$27,4,0)</f>
        <v>43.1</v>
      </c>
      <c r="H436">
        <f t="shared" si="6"/>
        <v>43.1</v>
      </c>
    </row>
    <row r="437" spans="1:8" x14ac:dyDescent="0.3">
      <c r="A437">
        <v>436</v>
      </c>
      <c r="B437">
        <v>38</v>
      </c>
      <c r="C437">
        <v>114</v>
      </c>
      <c r="D437" s="6">
        <v>42565</v>
      </c>
      <c r="E437" t="str">
        <f>VLOOKUP(B437,[1]pivottables!$F$2:$G$52,2,0)</f>
        <v>USA</v>
      </c>
      <c r="F437">
        <v>1</v>
      </c>
      <c r="G437">
        <f>VLOOKUP(C437,[1]products!$B$2:$E$27,4,0)</f>
        <v>74.38</v>
      </c>
      <c r="H437">
        <f t="shared" si="6"/>
        <v>74.38</v>
      </c>
    </row>
    <row r="438" spans="1:8" x14ac:dyDescent="0.3">
      <c r="A438">
        <v>437</v>
      </c>
      <c r="B438">
        <v>50</v>
      </c>
      <c r="C438">
        <v>121</v>
      </c>
      <c r="D438" s="6">
        <v>42892</v>
      </c>
      <c r="E438" t="str">
        <f>VLOOKUP(B438,[1]pivottables!$F$2:$G$52,2,0)</f>
        <v>NLD</v>
      </c>
      <c r="F438">
        <v>3</v>
      </c>
      <c r="G438">
        <f>VLOOKUP(C438,[1]products!$B$2:$E$27,4,0)</f>
        <v>49.09</v>
      </c>
      <c r="H438">
        <f t="shared" si="6"/>
        <v>147.27000000000001</v>
      </c>
    </row>
    <row r="439" spans="1:8" x14ac:dyDescent="0.3">
      <c r="A439">
        <v>438</v>
      </c>
      <c r="B439">
        <v>18</v>
      </c>
      <c r="C439">
        <v>102</v>
      </c>
      <c r="D439" s="6">
        <v>42958</v>
      </c>
      <c r="E439" t="str">
        <f>VLOOKUP(B439,[1]pivottables!$F$2:$G$52,2,0)</f>
        <v>JPN</v>
      </c>
      <c r="F439">
        <v>2</v>
      </c>
      <c r="G439">
        <f>VLOOKUP(C439,[1]products!$B$2:$E$27,4,0)</f>
        <v>14.94</v>
      </c>
      <c r="H439">
        <f t="shared" si="6"/>
        <v>29.88</v>
      </c>
    </row>
    <row r="440" spans="1:8" x14ac:dyDescent="0.3">
      <c r="A440">
        <v>439</v>
      </c>
      <c r="B440">
        <v>33</v>
      </c>
      <c r="C440">
        <v>106</v>
      </c>
      <c r="D440" s="6">
        <v>42353</v>
      </c>
      <c r="E440" t="str">
        <f>VLOOKUP(B440,[1]pivottables!$F$2:$G$52,2,0)</f>
        <v>NLD</v>
      </c>
      <c r="F440">
        <v>4</v>
      </c>
      <c r="G440">
        <f>VLOOKUP(C440,[1]products!$B$2:$E$27,4,0)</f>
        <v>132.88</v>
      </c>
      <c r="H440">
        <f t="shared" si="6"/>
        <v>531.52</v>
      </c>
    </row>
    <row r="441" spans="1:8" x14ac:dyDescent="0.3">
      <c r="A441">
        <v>440</v>
      </c>
      <c r="B441">
        <v>30</v>
      </c>
      <c r="C441">
        <v>101</v>
      </c>
      <c r="D441" s="6">
        <v>42977</v>
      </c>
      <c r="E441" t="str">
        <f>VLOOKUP(B441,[1]pivottables!$F$2:$G$52,2,0)</f>
        <v>FRA</v>
      </c>
      <c r="F441">
        <v>5</v>
      </c>
      <c r="G441">
        <f>VLOOKUP(C441,[1]products!$B$2:$E$27,4,0)</f>
        <v>108.61</v>
      </c>
      <c r="H441">
        <f t="shared" si="6"/>
        <v>543.04999999999995</v>
      </c>
    </row>
    <row r="442" spans="1:8" x14ac:dyDescent="0.3">
      <c r="A442">
        <v>441</v>
      </c>
      <c r="B442">
        <v>11</v>
      </c>
      <c r="C442">
        <v>106</v>
      </c>
      <c r="D442" s="6">
        <v>42285</v>
      </c>
      <c r="E442" t="str">
        <f>VLOOKUP(B442,[1]pivottables!$F$2:$G$52,2,0)</f>
        <v>ITA</v>
      </c>
      <c r="F442">
        <v>3</v>
      </c>
      <c r="G442">
        <f>VLOOKUP(C442,[1]products!$B$2:$E$27,4,0)</f>
        <v>132.88</v>
      </c>
      <c r="H442">
        <f t="shared" si="6"/>
        <v>398.64</v>
      </c>
    </row>
    <row r="443" spans="1:8" x14ac:dyDescent="0.3">
      <c r="A443">
        <v>442</v>
      </c>
      <c r="B443">
        <v>24</v>
      </c>
      <c r="C443">
        <v>103</v>
      </c>
      <c r="D443" s="6">
        <v>42232</v>
      </c>
      <c r="E443" t="str">
        <f>VLOOKUP(B443,[1]pivottables!$F$2:$G$52,2,0)</f>
        <v>NLD</v>
      </c>
      <c r="F443">
        <v>1</v>
      </c>
      <c r="G443">
        <f>VLOOKUP(C443,[1]products!$B$2:$E$27,4,0)</f>
        <v>108.96</v>
      </c>
      <c r="H443">
        <f t="shared" si="6"/>
        <v>108.96</v>
      </c>
    </row>
    <row r="444" spans="1:8" x14ac:dyDescent="0.3">
      <c r="A444">
        <v>443</v>
      </c>
      <c r="B444">
        <v>7</v>
      </c>
      <c r="C444">
        <v>111</v>
      </c>
      <c r="D444" s="6">
        <v>42337</v>
      </c>
      <c r="E444" t="str">
        <f>VLOOKUP(B444,[1]pivottables!$F$2:$G$52,2,0)</f>
        <v>CAN</v>
      </c>
      <c r="F444">
        <v>4</v>
      </c>
      <c r="G444">
        <f>VLOOKUP(C444,[1]products!$B$2:$E$27,4,0)</f>
        <v>149.93</v>
      </c>
      <c r="H444">
        <f t="shared" si="6"/>
        <v>599.72</v>
      </c>
    </row>
    <row r="445" spans="1:8" x14ac:dyDescent="0.3">
      <c r="A445">
        <v>444</v>
      </c>
      <c r="B445">
        <v>14</v>
      </c>
      <c r="C445">
        <v>102</v>
      </c>
      <c r="D445" s="6">
        <v>43062</v>
      </c>
      <c r="E445" t="str">
        <f>VLOOKUP(B445,[1]pivottables!$F$2:$G$52,2,0)</f>
        <v>CZE</v>
      </c>
      <c r="F445">
        <v>1</v>
      </c>
      <c r="G445">
        <f>VLOOKUP(C445,[1]products!$B$2:$E$27,4,0)</f>
        <v>14.94</v>
      </c>
      <c r="H445">
        <f t="shared" si="6"/>
        <v>14.94</v>
      </c>
    </row>
    <row r="446" spans="1:8" x14ac:dyDescent="0.3">
      <c r="A446">
        <v>445</v>
      </c>
      <c r="B446">
        <v>17</v>
      </c>
      <c r="C446">
        <v>124</v>
      </c>
      <c r="D446" s="6">
        <v>42735</v>
      </c>
      <c r="E446" t="str">
        <f>VLOOKUP(B446,[1]pivottables!$F$2:$G$52,2,0)</f>
        <v>CAN</v>
      </c>
      <c r="F446">
        <v>5</v>
      </c>
      <c r="G446">
        <f>VLOOKUP(C446,[1]products!$B$2:$E$27,4,0)</f>
        <v>108.54</v>
      </c>
      <c r="H446">
        <f t="shared" si="6"/>
        <v>542.70000000000005</v>
      </c>
    </row>
    <row r="447" spans="1:8" x14ac:dyDescent="0.3">
      <c r="A447">
        <v>446</v>
      </c>
      <c r="B447">
        <v>28</v>
      </c>
      <c r="C447">
        <v>104</v>
      </c>
      <c r="D447" s="6">
        <v>42992</v>
      </c>
      <c r="E447" t="str">
        <f>VLOOKUP(B447,[1]pivottables!$F$2:$G$52,2,0)</f>
        <v>FRA</v>
      </c>
      <c r="F447">
        <v>4</v>
      </c>
      <c r="G447">
        <f>VLOOKUP(C447,[1]products!$B$2:$E$27,4,0)</f>
        <v>122.18</v>
      </c>
      <c r="H447">
        <f t="shared" si="6"/>
        <v>488.72</v>
      </c>
    </row>
    <row r="448" spans="1:8" x14ac:dyDescent="0.3">
      <c r="A448">
        <v>447</v>
      </c>
      <c r="B448">
        <v>46</v>
      </c>
      <c r="C448">
        <v>109</v>
      </c>
      <c r="D448" s="6">
        <v>42996</v>
      </c>
      <c r="E448" t="str">
        <f>VLOOKUP(B448,[1]pivottables!$F$2:$G$52,2,0)</f>
        <v>JPN</v>
      </c>
      <c r="F448">
        <v>3</v>
      </c>
      <c r="G448">
        <f>VLOOKUP(C448,[1]products!$B$2:$E$27,4,0)</f>
        <v>143.97999999999999</v>
      </c>
      <c r="H448">
        <f t="shared" si="6"/>
        <v>431.93999999999994</v>
      </c>
    </row>
    <row r="449" spans="1:8" x14ac:dyDescent="0.3">
      <c r="A449">
        <v>448</v>
      </c>
      <c r="B449">
        <v>12</v>
      </c>
      <c r="C449">
        <v>124</v>
      </c>
      <c r="D449" s="6">
        <v>42794</v>
      </c>
      <c r="E449" t="str">
        <f>VLOOKUP(B449,[1]pivottables!$F$2:$G$52,2,0)</f>
        <v>FRA</v>
      </c>
      <c r="F449">
        <v>3</v>
      </c>
      <c r="G449">
        <f>VLOOKUP(C449,[1]products!$B$2:$E$27,4,0)</f>
        <v>108.54</v>
      </c>
      <c r="H449">
        <f t="shared" si="6"/>
        <v>325.62</v>
      </c>
    </row>
    <row r="450" spans="1:8" x14ac:dyDescent="0.3">
      <c r="A450">
        <v>449</v>
      </c>
      <c r="B450">
        <v>8</v>
      </c>
      <c r="C450">
        <v>109</v>
      </c>
      <c r="D450" s="6">
        <v>42482</v>
      </c>
      <c r="E450" t="str">
        <f>VLOOKUP(B450,[1]pivottables!$F$2:$G$52,2,0)</f>
        <v>CZE</v>
      </c>
      <c r="F450">
        <v>1</v>
      </c>
      <c r="G450">
        <f>VLOOKUP(C450,[1]products!$B$2:$E$27,4,0)</f>
        <v>143.97999999999999</v>
      </c>
      <c r="H450">
        <f t="shared" si="6"/>
        <v>143.97999999999999</v>
      </c>
    </row>
    <row r="451" spans="1:8" x14ac:dyDescent="0.3">
      <c r="A451">
        <v>450</v>
      </c>
      <c r="B451">
        <v>5</v>
      </c>
      <c r="C451">
        <v>119</v>
      </c>
      <c r="D451" s="6">
        <v>42787</v>
      </c>
      <c r="E451" t="str">
        <f>VLOOKUP(B451,[1]pivottables!$F$2:$G$52,2,0)</f>
        <v>USA</v>
      </c>
      <c r="F451">
        <v>1</v>
      </c>
      <c r="G451">
        <f>VLOOKUP(C451,[1]products!$B$2:$E$27,4,0)</f>
        <v>74.55</v>
      </c>
      <c r="H451">
        <f t="shared" ref="H451:H501" si="7">G451*F451</f>
        <v>74.55</v>
      </c>
    </row>
    <row r="452" spans="1:8" x14ac:dyDescent="0.3">
      <c r="A452">
        <v>451</v>
      </c>
      <c r="B452">
        <v>13</v>
      </c>
      <c r="C452">
        <v>117</v>
      </c>
      <c r="D452" s="6">
        <v>43020</v>
      </c>
      <c r="E452" t="str">
        <f>VLOOKUP(B452,[1]pivottables!$F$2:$G$52,2,0)</f>
        <v>GBR</v>
      </c>
      <c r="F452">
        <v>4</v>
      </c>
      <c r="G452">
        <f>VLOOKUP(C452,[1]products!$B$2:$E$27,4,0)</f>
        <v>47.38</v>
      </c>
      <c r="H452">
        <f t="shared" si="7"/>
        <v>189.52</v>
      </c>
    </row>
    <row r="453" spans="1:8" x14ac:dyDescent="0.3">
      <c r="A453">
        <v>452</v>
      </c>
      <c r="B453">
        <v>27</v>
      </c>
      <c r="C453">
        <v>113</v>
      </c>
      <c r="D453" s="6">
        <v>43012</v>
      </c>
      <c r="E453" t="str">
        <f>VLOOKUP(B453,[1]pivottables!$F$2:$G$52,2,0)</f>
        <v>ITA</v>
      </c>
      <c r="F453">
        <v>3</v>
      </c>
      <c r="G453">
        <f>VLOOKUP(C453,[1]products!$B$2:$E$27,4,0)</f>
        <v>9.89</v>
      </c>
      <c r="H453">
        <f t="shared" si="7"/>
        <v>29.67</v>
      </c>
    </row>
    <row r="454" spans="1:8" x14ac:dyDescent="0.3">
      <c r="A454">
        <v>453</v>
      </c>
      <c r="B454">
        <v>14</v>
      </c>
      <c r="C454">
        <v>108</v>
      </c>
      <c r="D454" s="6">
        <v>42201</v>
      </c>
      <c r="E454" t="str">
        <f>VLOOKUP(B454,[1]pivottables!$F$2:$G$52,2,0)</f>
        <v>CZE</v>
      </c>
      <c r="F454">
        <v>3</v>
      </c>
      <c r="G454">
        <f>VLOOKUP(C454,[1]products!$B$2:$E$27,4,0)</f>
        <v>137.97999999999999</v>
      </c>
      <c r="H454">
        <f t="shared" si="7"/>
        <v>413.93999999999994</v>
      </c>
    </row>
    <row r="455" spans="1:8" x14ac:dyDescent="0.3">
      <c r="A455">
        <v>454</v>
      </c>
      <c r="B455">
        <v>35</v>
      </c>
      <c r="C455">
        <v>100</v>
      </c>
      <c r="D455" s="6">
        <v>42134</v>
      </c>
      <c r="E455" t="str">
        <f>VLOOKUP(B455,[1]pivottables!$F$2:$G$52,2,0)</f>
        <v>JPN</v>
      </c>
      <c r="F455">
        <v>3</v>
      </c>
      <c r="G455">
        <f>VLOOKUP(C455,[1]products!$B$2:$E$27,4,0)</f>
        <v>30.29</v>
      </c>
      <c r="H455">
        <f t="shared" si="7"/>
        <v>90.87</v>
      </c>
    </row>
    <row r="456" spans="1:8" x14ac:dyDescent="0.3">
      <c r="A456">
        <v>455</v>
      </c>
      <c r="B456">
        <v>15</v>
      </c>
      <c r="C456">
        <v>107</v>
      </c>
      <c r="D456" s="6">
        <v>42738</v>
      </c>
      <c r="E456" t="str">
        <f>VLOOKUP(B456,[1]pivottables!$F$2:$G$52,2,0)</f>
        <v>HUN</v>
      </c>
      <c r="F456">
        <v>3</v>
      </c>
      <c r="G456">
        <f>VLOOKUP(C456,[1]products!$B$2:$E$27,4,0)</f>
        <v>43.1</v>
      </c>
      <c r="H456">
        <f t="shared" si="7"/>
        <v>129.30000000000001</v>
      </c>
    </row>
    <row r="457" spans="1:8" x14ac:dyDescent="0.3">
      <c r="A457">
        <v>456</v>
      </c>
      <c r="B457">
        <v>13</v>
      </c>
      <c r="C457">
        <v>111</v>
      </c>
      <c r="D457" s="6">
        <v>43055</v>
      </c>
      <c r="E457" t="str">
        <f>VLOOKUP(B457,[1]pivottables!$F$2:$G$52,2,0)</f>
        <v>GBR</v>
      </c>
      <c r="F457">
        <v>4</v>
      </c>
      <c r="G457">
        <f>VLOOKUP(C457,[1]products!$B$2:$E$27,4,0)</f>
        <v>149.93</v>
      </c>
      <c r="H457">
        <f t="shared" si="7"/>
        <v>599.72</v>
      </c>
    </row>
    <row r="458" spans="1:8" x14ac:dyDescent="0.3">
      <c r="A458">
        <v>457</v>
      </c>
      <c r="B458">
        <v>50</v>
      </c>
      <c r="C458">
        <v>110</v>
      </c>
      <c r="D458" s="6">
        <v>42451</v>
      </c>
      <c r="E458" t="str">
        <f>VLOOKUP(B458,[1]pivottables!$F$2:$G$52,2,0)</f>
        <v>NLD</v>
      </c>
      <c r="F458">
        <v>2</v>
      </c>
      <c r="G458">
        <f>VLOOKUP(C458,[1]products!$B$2:$E$27,4,0)</f>
        <v>10.76</v>
      </c>
      <c r="H458">
        <f t="shared" si="7"/>
        <v>21.52</v>
      </c>
    </row>
    <row r="459" spans="1:8" x14ac:dyDescent="0.3">
      <c r="A459">
        <v>458</v>
      </c>
      <c r="B459">
        <v>21</v>
      </c>
      <c r="C459">
        <v>119</v>
      </c>
      <c r="D459" s="6">
        <v>42429</v>
      </c>
      <c r="E459" t="str">
        <f>VLOOKUP(B459,[1]pivottables!$F$2:$G$52,2,0)</f>
        <v>HUN</v>
      </c>
      <c r="F459">
        <v>1</v>
      </c>
      <c r="G459">
        <f>VLOOKUP(C459,[1]products!$B$2:$E$27,4,0)</f>
        <v>74.55</v>
      </c>
      <c r="H459">
        <f t="shared" si="7"/>
        <v>74.55</v>
      </c>
    </row>
    <row r="460" spans="1:8" x14ac:dyDescent="0.3">
      <c r="A460">
        <v>459</v>
      </c>
      <c r="B460">
        <v>9</v>
      </c>
      <c r="C460">
        <v>119</v>
      </c>
      <c r="D460" s="6">
        <v>43045</v>
      </c>
      <c r="E460" t="str">
        <f>VLOOKUP(B460,[1]pivottables!$F$2:$G$52,2,0)</f>
        <v>HUN</v>
      </c>
      <c r="F460">
        <v>4</v>
      </c>
      <c r="G460">
        <f>VLOOKUP(C460,[1]products!$B$2:$E$27,4,0)</f>
        <v>74.55</v>
      </c>
      <c r="H460">
        <f t="shared" si="7"/>
        <v>298.2</v>
      </c>
    </row>
    <row r="461" spans="1:8" x14ac:dyDescent="0.3">
      <c r="A461">
        <v>460</v>
      </c>
      <c r="B461">
        <v>37</v>
      </c>
      <c r="C461">
        <v>122</v>
      </c>
      <c r="D461" s="6">
        <v>43079</v>
      </c>
      <c r="E461" t="str">
        <f>VLOOKUP(B461,[1]pivottables!$F$2:$G$52,2,0)</f>
        <v>GBR</v>
      </c>
      <c r="F461">
        <v>4</v>
      </c>
      <c r="G461">
        <f>VLOOKUP(C461,[1]products!$B$2:$E$27,4,0)</f>
        <v>32.64</v>
      </c>
      <c r="H461">
        <f t="shared" si="7"/>
        <v>130.56</v>
      </c>
    </row>
    <row r="462" spans="1:8" x14ac:dyDescent="0.3">
      <c r="A462">
        <v>461</v>
      </c>
      <c r="B462">
        <v>21</v>
      </c>
      <c r="C462">
        <v>103</v>
      </c>
      <c r="D462" s="6">
        <v>42733</v>
      </c>
      <c r="E462" t="str">
        <f>VLOOKUP(B462,[1]pivottables!$F$2:$G$52,2,0)</f>
        <v>HUN</v>
      </c>
      <c r="F462">
        <v>2</v>
      </c>
      <c r="G462">
        <f>VLOOKUP(C462,[1]products!$B$2:$E$27,4,0)</f>
        <v>108.96</v>
      </c>
      <c r="H462">
        <f t="shared" si="7"/>
        <v>217.92</v>
      </c>
    </row>
    <row r="463" spans="1:8" x14ac:dyDescent="0.3">
      <c r="A463">
        <v>462</v>
      </c>
      <c r="B463">
        <v>25</v>
      </c>
      <c r="C463">
        <v>112</v>
      </c>
      <c r="D463" s="6">
        <v>42656</v>
      </c>
      <c r="E463" t="str">
        <f>VLOOKUP(B463,[1]pivottables!$F$2:$G$52,2,0)</f>
        <v>CHN</v>
      </c>
      <c r="F463">
        <v>5</v>
      </c>
      <c r="G463">
        <f>VLOOKUP(C463,[1]products!$B$2:$E$27,4,0)</f>
        <v>106.3</v>
      </c>
      <c r="H463">
        <f t="shared" si="7"/>
        <v>531.5</v>
      </c>
    </row>
    <row r="464" spans="1:8" x14ac:dyDescent="0.3">
      <c r="A464">
        <v>463</v>
      </c>
      <c r="B464">
        <v>8</v>
      </c>
      <c r="C464">
        <v>125</v>
      </c>
      <c r="D464" s="6">
        <v>42344</v>
      </c>
      <c r="E464" t="str">
        <f>VLOOKUP(B464,[1]pivottables!$F$2:$G$52,2,0)</f>
        <v>CZE</v>
      </c>
      <c r="F464">
        <v>5</v>
      </c>
      <c r="G464">
        <f>VLOOKUP(C464,[1]products!$B$2:$E$27,4,0)</f>
        <v>90.44</v>
      </c>
      <c r="H464">
        <f t="shared" si="7"/>
        <v>452.2</v>
      </c>
    </row>
    <row r="465" spans="1:8" x14ac:dyDescent="0.3">
      <c r="A465">
        <v>464</v>
      </c>
      <c r="B465">
        <v>5</v>
      </c>
      <c r="C465">
        <v>114</v>
      </c>
      <c r="D465" s="6">
        <v>42537</v>
      </c>
      <c r="E465" t="str">
        <f>VLOOKUP(B465,[1]pivottables!$F$2:$G$52,2,0)</f>
        <v>USA</v>
      </c>
      <c r="F465">
        <v>4</v>
      </c>
      <c r="G465">
        <f>VLOOKUP(C465,[1]products!$B$2:$E$27,4,0)</f>
        <v>74.38</v>
      </c>
      <c r="H465">
        <f t="shared" si="7"/>
        <v>297.52</v>
      </c>
    </row>
    <row r="466" spans="1:8" x14ac:dyDescent="0.3">
      <c r="A466">
        <v>465</v>
      </c>
      <c r="B466">
        <v>16</v>
      </c>
      <c r="C466">
        <v>103</v>
      </c>
      <c r="D466" s="6">
        <v>42303</v>
      </c>
      <c r="E466" t="str">
        <f>VLOOKUP(B466,[1]pivottables!$F$2:$G$52,2,0)</f>
        <v>JPN</v>
      </c>
      <c r="F466">
        <v>3</v>
      </c>
      <c r="G466">
        <f>VLOOKUP(C466,[1]products!$B$2:$E$27,4,0)</f>
        <v>108.96</v>
      </c>
      <c r="H466">
        <f t="shared" si="7"/>
        <v>326.88</v>
      </c>
    </row>
    <row r="467" spans="1:8" x14ac:dyDescent="0.3">
      <c r="A467">
        <v>466</v>
      </c>
      <c r="B467">
        <v>30</v>
      </c>
      <c r="C467">
        <v>123</v>
      </c>
      <c r="D467" s="6">
        <v>43096</v>
      </c>
      <c r="E467" t="str">
        <f>VLOOKUP(B467,[1]pivottables!$F$2:$G$52,2,0)</f>
        <v>FRA</v>
      </c>
      <c r="F467">
        <v>4</v>
      </c>
      <c r="G467">
        <f>VLOOKUP(C467,[1]products!$B$2:$E$27,4,0)</f>
        <v>39.67</v>
      </c>
      <c r="H467">
        <f t="shared" si="7"/>
        <v>158.68</v>
      </c>
    </row>
    <row r="468" spans="1:8" x14ac:dyDescent="0.3">
      <c r="A468">
        <v>467</v>
      </c>
      <c r="B468">
        <v>36</v>
      </c>
      <c r="C468">
        <v>115</v>
      </c>
      <c r="D468" s="6">
        <v>43092</v>
      </c>
      <c r="E468" t="str">
        <f>VLOOKUP(B468,[1]pivottables!$F$2:$G$52,2,0)</f>
        <v>FRA</v>
      </c>
      <c r="F468">
        <v>2</v>
      </c>
      <c r="G468">
        <f>VLOOKUP(C468,[1]products!$B$2:$E$27,4,0)</f>
        <v>22.55</v>
      </c>
      <c r="H468">
        <f t="shared" si="7"/>
        <v>45.1</v>
      </c>
    </row>
    <row r="469" spans="1:8" x14ac:dyDescent="0.3">
      <c r="A469">
        <v>468</v>
      </c>
      <c r="B469">
        <v>26</v>
      </c>
      <c r="C469">
        <v>106</v>
      </c>
      <c r="D469" s="6">
        <v>42995</v>
      </c>
      <c r="E469" t="str">
        <f>VLOOKUP(B469,[1]pivottables!$F$2:$G$52,2,0)</f>
        <v>NLD</v>
      </c>
      <c r="F469">
        <v>2</v>
      </c>
      <c r="G469">
        <f>VLOOKUP(C469,[1]products!$B$2:$E$27,4,0)</f>
        <v>132.88</v>
      </c>
      <c r="H469">
        <f t="shared" si="7"/>
        <v>265.76</v>
      </c>
    </row>
    <row r="470" spans="1:8" x14ac:dyDescent="0.3">
      <c r="A470">
        <v>469</v>
      </c>
      <c r="B470">
        <v>23</v>
      </c>
      <c r="C470">
        <v>115</v>
      </c>
      <c r="D470" s="6">
        <v>42339</v>
      </c>
      <c r="E470" t="str">
        <f>VLOOKUP(B470,[1]pivottables!$F$2:$G$52,2,0)</f>
        <v>GBR</v>
      </c>
      <c r="F470">
        <v>4</v>
      </c>
      <c r="G470">
        <f>VLOOKUP(C470,[1]products!$B$2:$E$27,4,0)</f>
        <v>22.55</v>
      </c>
      <c r="H470">
        <f t="shared" si="7"/>
        <v>90.2</v>
      </c>
    </row>
    <row r="471" spans="1:8" x14ac:dyDescent="0.3">
      <c r="A471">
        <v>470</v>
      </c>
      <c r="B471">
        <v>25</v>
      </c>
      <c r="C471">
        <v>108</v>
      </c>
      <c r="D471" s="6">
        <v>42496</v>
      </c>
      <c r="E471" t="str">
        <f>VLOOKUP(B471,[1]pivottables!$F$2:$G$52,2,0)</f>
        <v>CHN</v>
      </c>
      <c r="F471">
        <v>2</v>
      </c>
      <c r="G471">
        <f>VLOOKUP(C471,[1]products!$B$2:$E$27,4,0)</f>
        <v>137.97999999999999</v>
      </c>
      <c r="H471">
        <f t="shared" si="7"/>
        <v>275.95999999999998</v>
      </c>
    </row>
    <row r="472" spans="1:8" x14ac:dyDescent="0.3">
      <c r="A472">
        <v>471</v>
      </c>
      <c r="B472">
        <v>26</v>
      </c>
      <c r="C472">
        <v>102</v>
      </c>
      <c r="D472" s="6">
        <v>42222</v>
      </c>
      <c r="E472" t="str">
        <f>VLOOKUP(B472,[1]pivottables!$F$2:$G$52,2,0)</f>
        <v>NLD</v>
      </c>
      <c r="F472">
        <v>5</v>
      </c>
      <c r="G472">
        <f>VLOOKUP(C472,[1]products!$B$2:$E$27,4,0)</f>
        <v>14.94</v>
      </c>
      <c r="H472">
        <f t="shared" si="7"/>
        <v>74.7</v>
      </c>
    </row>
    <row r="473" spans="1:8" x14ac:dyDescent="0.3">
      <c r="A473">
        <v>472</v>
      </c>
      <c r="B473">
        <v>26</v>
      </c>
      <c r="C473">
        <v>115</v>
      </c>
      <c r="D473" s="6">
        <v>42756</v>
      </c>
      <c r="E473" t="str">
        <f>VLOOKUP(B473,[1]pivottables!$F$2:$G$52,2,0)</f>
        <v>NLD</v>
      </c>
      <c r="F473">
        <v>4</v>
      </c>
      <c r="G473">
        <f>VLOOKUP(C473,[1]products!$B$2:$E$27,4,0)</f>
        <v>22.55</v>
      </c>
      <c r="H473">
        <f t="shared" si="7"/>
        <v>90.2</v>
      </c>
    </row>
    <row r="474" spans="1:8" x14ac:dyDescent="0.3">
      <c r="A474">
        <v>473</v>
      </c>
      <c r="B474">
        <v>6</v>
      </c>
      <c r="C474">
        <v>113</v>
      </c>
      <c r="D474" s="6">
        <v>42863</v>
      </c>
      <c r="E474" t="str">
        <f>VLOOKUP(B474,[1]pivottables!$F$2:$G$52,2,0)</f>
        <v>CAN</v>
      </c>
      <c r="F474">
        <v>3</v>
      </c>
      <c r="G474">
        <f>VLOOKUP(C474,[1]products!$B$2:$E$27,4,0)</f>
        <v>9.89</v>
      </c>
      <c r="H474">
        <f t="shared" si="7"/>
        <v>29.67</v>
      </c>
    </row>
    <row r="475" spans="1:8" x14ac:dyDescent="0.3">
      <c r="A475">
        <v>474</v>
      </c>
      <c r="B475">
        <v>1</v>
      </c>
      <c r="C475">
        <v>107</v>
      </c>
      <c r="D475" s="6">
        <v>42050</v>
      </c>
      <c r="E475" t="str">
        <f>VLOOKUP(B475,[1]pivottables!$F$2:$G$52,2,0)</f>
        <v>FRA</v>
      </c>
      <c r="F475">
        <v>2</v>
      </c>
      <c r="G475">
        <f>VLOOKUP(C475,[1]products!$B$2:$E$27,4,0)</f>
        <v>43.1</v>
      </c>
      <c r="H475">
        <f t="shared" si="7"/>
        <v>86.2</v>
      </c>
    </row>
    <row r="476" spans="1:8" x14ac:dyDescent="0.3">
      <c r="A476">
        <v>475</v>
      </c>
      <c r="B476">
        <v>37</v>
      </c>
      <c r="C476">
        <v>119</v>
      </c>
      <c r="D476" s="6">
        <v>42832</v>
      </c>
      <c r="E476" t="str">
        <f>VLOOKUP(B476,[1]pivottables!$F$2:$G$52,2,0)</f>
        <v>GBR</v>
      </c>
      <c r="F476">
        <v>5</v>
      </c>
      <c r="G476">
        <f>VLOOKUP(C476,[1]products!$B$2:$E$27,4,0)</f>
        <v>74.55</v>
      </c>
      <c r="H476">
        <f t="shared" si="7"/>
        <v>372.75</v>
      </c>
    </row>
    <row r="477" spans="1:8" x14ac:dyDescent="0.3">
      <c r="A477">
        <v>476</v>
      </c>
      <c r="B477">
        <v>43</v>
      </c>
      <c r="C477">
        <v>110</v>
      </c>
      <c r="D477" s="6">
        <v>42632</v>
      </c>
      <c r="E477" t="str">
        <f>VLOOKUP(B477,[1]pivottables!$F$2:$G$52,2,0)</f>
        <v>FRA</v>
      </c>
      <c r="F477">
        <v>2</v>
      </c>
      <c r="G477">
        <f>VLOOKUP(C477,[1]products!$B$2:$E$27,4,0)</f>
        <v>10.76</v>
      </c>
      <c r="H477">
        <f t="shared" si="7"/>
        <v>21.52</v>
      </c>
    </row>
    <row r="478" spans="1:8" x14ac:dyDescent="0.3">
      <c r="A478">
        <v>477</v>
      </c>
      <c r="B478">
        <v>41</v>
      </c>
      <c r="C478">
        <v>101</v>
      </c>
      <c r="D478" s="6">
        <v>42541</v>
      </c>
      <c r="E478" t="str">
        <f>VLOOKUP(B478,[1]pivottables!$F$2:$G$52,2,0)</f>
        <v>FRA</v>
      </c>
      <c r="F478">
        <v>3</v>
      </c>
      <c r="G478">
        <f>VLOOKUP(C478,[1]products!$B$2:$E$27,4,0)</f>
        <v>108.61</v>
      </c>
      <c r="H478">
        <f t="shared" si="7"/>
        <v>325.83</v>
      </c>
    </row>
    <row r="479" spans="1:8" x14ac:dyDescent="0.3">
      <c r="A479">
        <v>478</v>
      </c>
      <c r="B479">
        <v>26</v>
      </c>
      <c r="C479">
        <v>124</v>
      </c>
      <c r="D479" s="6">
        <v>42312</v>
      </c>
      <c r="E479" t="str">
        <f>VLOOKUP(B479,[1]pivottables!$F$2:$G$52,2,0)</f>
        <v>NLD</v>
      </c>
      <c r="F479">
        <v>4</v>
      </c>
      <c r="G479">
        <f>VLOOKUP(C479,[1]products!$B$2:$E$27,4,0)</f>
        <v>108.54</v>
      </c>
      <c r="H479">
        <f t="shared" si="7"/>
        <v>434.16</v>
      </c>
    </row>
    <row r="480" spans="1:8" x14ac:dyDescent="0.3">
      <c r="A480">
        <v>479</v>
      </c>
      <c r="B480">
        <v>41</v>
      </c>
      <c r="C480">
        <v>125</v>
      </c>
      <c r="D480" s="6">
        <v>42383</v>
      </c>
      <c r="E480" t="str">
        <f>VLOOKUP(B480,[1]pivottables!$F$2:$G$52,2,0)</f>
        <v>FRA</v>
      </c>
      <c r="F480">
        <v>5</v>
      </c>
      <c r="G480">
        <f>VLOOKUP(C480,[1]products!$B$2:$E$27,4,0)</f>
        <v>90.44</v>
      </c>
      <c r="H480">
        <f t="shared" si="7"/>
        <v>452.2</v>
      </c>
    </row>
    <row r="481" spans="1:8" x14ac:dyDescent="0.3">
      <c r="A481">
        <v>480</v>
      </c>
      <c r="B481">
        <v>24</v>
      </c>
      <c r="C481">
        <v>101</v>
      </c>
      <c r="D481" s="6">
        <v>42188</v>
      </c>
      <c r="E481" t="str">
        <f>VLOOKUP(B481,[1]pivottables!$F$2:$G$52,2,0)</f>
        <v>NLD</v>
      </c>
      <c r="F481">
        <v>4</v>
      </c>
      <c r="G481">
        <f>VLOOKUP(C481,[1]products!$B$2:$E$27,4,0)</f>
        <v>108.61</v>
      </c>
      <c r="H481">
        <f t="shared" si="7"/>
        <v>434.44</v>
      </c>
    </row>
    <row r="482" spans="1:8" x14ac:dyDescent="0.3">
      <c r="A482">
        <v>481</v>
      </c>
      <c r="B482">
        <v>41</v>
      </c>
      <c r="C482">
        <v>104</v>
      </c>
      <c r="D482" s="6">
        <v>42186</v>
      </c>
      <c r="E482" t="str">
        <f>VLOOKUP(B482,[1]pivottables!$F$2:$G$52,2,0)</f>
        <v>FRA</v>
      </c>
      <c r="F482">
        <v>4</v>
      </c>
      <c r="G482">
        <f>VLOOKUP(C482,[1]products!$B$2:$E$27,4,0)</f>
        <v>122.18</v>
      </c>
      <c r="H482">
        <f t="shared" si="7"/>
        <v>488.72</v>
      </c>
    </row>
    <row r="483" spans="1:8" x14ac:dyDescent="0.3">
      <c r="A483">
        <v>482</v>
      </c>
      <c r="B483">
        <v>12</v>
      </c>
      <c r="C483">
        <v>109</v>
      </c>
      <c r="D483" s="6">
        <v>43020</v>
      </c>
      <c r="E483" t="str">
        <f>VLOOKUP(B483,[1]pivottables!$F$2:$G$52,2,0)</f>
        <v>FRA</v>
      </c>
      <c r="F483">
        <v>4</v>
      </c>
      <c r="G483">
        <f>VLOOKUP(C483,[1]products!$B$2:$E$27,4,0)</f>
        <v>143.97999999999999</v>
      </c>
      <c r="H483">
        <f t="shared" si="7"/>
        <v>575.91999999999996</v>
      </c>
    </row>
    <row r="484" spans="1:8" x14ac:dyDescent="0.3">
      <c r="A484">
        <v>483</v>
      </c>
      <c r="B484">
        <v>35</v>
      </c>
      <c r="C484">
        <v>124</v>
      </c>
      <c r="D484" s="6">
        <v>43099</v>
      </c>
      <c r="E484" t="str">
        <f>VLOOKUP(B484,[1]pivottables!$F$2:$G$52,2,0)</f>
        <v>JPN</v>
      </c>
      <c r="F484">
        <v>2</v>
      </c>
      <c r="G484">
        <f>VLOOKUP(C484,[1]products!$B$2:$E$27,4,0)</f>
        <v>108.54</v>
      </c>
      <c r="H484">
        <f t="shared" si="7"/>
        <v>217.08</v>
      </c>
    </row>
    <row r="485" spans="1:8" x14ac:dyDescent="0.3">
      <c r="A485">
        <v>484</v>
      </c>
      <c r="B485">
        <v>10</v>
      </c>
      <c r="C485">
        <v>117</v>
      </c>
      <c r="D485" s="6">
        <v>42272</v>
      </c>
      <c r="E485" t="str">
        <f>VLOOKUP(B485,[1]pivottables!$F$2:$G$52,2,0)</f>
        <v>NLD</v>
      </c>
      <c r="F485">
        <v>4</v>
      </c>
      <c r="G485">
        <f>VLOOKUP(C485,[1]products!$B$2:$E$27,4,0)</f>
        <v>47.38</v>
      </c>
      <c r="H485">
        <f t="shared" si="7"/>
        <v>189.52</v>
      </c>
    </row>
    <row r="486" spans="1:8" x14ac:dyDescent="0.3">
      <c r="A486">
        <v>485</v>
      </c>
      <c r="B486">
        <v>46</v>
      </c>
      <c r="C486">
        <v>100</v>
      </c>
      <c r="D486" s="6">
        <v>42804</v>
      </c>
      <c r="E486" t="str">
        <f>VLOOKUP(B486,[1]pivottables!$F$2:$G$52,2,0)</f>
        <v>JPN</v>
      </c>
      <c r="F486">
        <v>4</v>
      </c>
      <c r="G486">
        <f>VLOOKUP(C486,[1]products!$B$2:$E$27,4,0)</f>
        <v>30.29</v>
      </c>
      <c r="H486">
        <f t="shared" si="7"/>
        <v>121.16</v>
      </c>
    </row>
    <row r="487" spans="1:8" x14ac:dyDescent="0.3">
      <c r="A487">
        <v>486</v>
      </c>
      <c r="B487">
        <v>40</v>
      </c>
      <c r="C487">
        <v>121</v>
      </c>
      <c r="D487" s="6">
        <v>42834</v>
      </c>
      <c r="E487" t="str">
        <f>VLOOKUP(B487,[1]pivottables!$F$2:$G$52,2,0)</f>
        <v>JPN</v>
      </c>
      <c r="F487">
        <v>5</v>
      </c>
      <c r="G487">
        <f>VLOOKUP(C487,[1]products!$B$2:$E$27,4,0)</f>
        <v>49.09</v>
      </c>
      <c r="H487">
        <f t="shared" si="7"/>
        <v>245.45000000000002</v>
      </c>
    </row>
    <row r="488" spans="1:8" x14ac:dyDescent="0.3">
      <c r="A488">
        <v>487</v>
      </c>
      <c r="B488">
        <v>1</v>
      </c>
      <c r="C488">
        <v>116</v>
      </c>
      <c r="D488" s="6">
        <v>42667</v>
      </c>
      <c r="E488" t="str">
        <f>VLOOKUP(B488,[1]pivottables!$F$2:$G$52,2,0)</f>
        <v>FRA</v>
      </c>
      <c r="F488">
        <v>1</v>
      </c>
      <c r="G488">
        <f>VLOOKUP(C488,[1]products!$B$2:$E$27,4,0)</f>
        <v>137.19999999999999</v>
      </c>
      <c r="H488">
        <f t="shared" si="7"/>
        <v>137.19999999999999</v>
      </c>
    </row>
    <row r="489" spans="1:8" x14ac:dyDescent="0.3">
      <c r="A489">
        <v>488</v>
      </c>
      <c r="B489">
        <v>44</v>
      </c>
      <c r="C489">
        <v>119</v>
      </c>
      <c r="D489" s="6">
        <v>42674</v>
      </c>
      <c r="E489" t="str">
        <f>VLOOKUP(B489,[1]pivottables!$F$2:$G$52,2,0)</f>
        <v>CHN</v>
      </c>
      <c r="F489">
        <v>5</v>
      </c>
      <c r="G489">
        <f>VLOOKUP(C489,[1]products!$B$2:$E$27,4,0)</f>
        <v>74.55</v>
      </c>
      <c r="H489">
        <f t="shared" si="7"/>
        <v>372.75</v>
      </c>
    </row>
    <row r="490" spans="1:8" x14ac:dyDescent="0.3">
      <c r="A490">
        <v>489</v>
      </c>
      <c r="B490">
        <v>40</v>
      </c>
      <c r="C490">
        <v>112</v>
      </c>
      <c r="D490" s="6">
        <v>42322</v>
      </c>
      <c r="E490" t="str">
        <f>VLOOKUP(B490,[1]pivottables!$F$2:$G$52,2,0)</f>
        <v>JPN</v>
      </c>
      <c r="F490">
        <v>3</v>
      </c>
      <c r="G490">
        <f>VLOOKUP(C490,[1]products!$B$2:$E$27,4,0)</f>
        <v>106.3</v>
      </c>
      <c r="H490">
        <f t="shared" si="7"/>
        <v>318.89999999999998</v>
      </c>
    </row>
    <row r="491" spans="1:8" x14ac:dyDescent="0.3">
      <c r="A491">
        <v>490</v>
      </c>
      <c r="B491">
        <v>2</v>
      </c>
      <c r="C491">
        <v>117</v>
      </c>
      <c r="D491" s="6">
        <v>42540</v>
      </c>
      <c r="E491" t="str">
        <f>VLOOKUP(B491,[1]pivottables!$F$2:$G$52,2,0)</f>
        <v>CZE</v>
      </c>
      <c r="F491">
        <v>3</v>
      </c>
      <c r="G491">
        <f>VLOOKUP(C491,[1]products!$B$2:$E$27,4,0)</f>
        <v>47.38</v>
      </c>
      <c r="H491">
        <f t="shared" si="7"/>
        <v>142.14000000000001</v>
      </c>
    </row>
    <row r="492" spans="1:8" x14ac:dyDescent="0.3">
      <c r="A492">
        <v>491</v>
      </c>
      <c r="B492">
        <v>2</v>
      </c>
      <c r="C492">
        <v>106</v>
      </c>
      <c r="D492" s="6">
        <v>42095</v>
      </c>
      <c r="E492" t="str">
        <f>VLOOKUP(B492,[1]pivottables!$F$2:$G$52,2,0)</f>
        <v>CZE</v>
      </c>
      <c r="F492">
        <v>3</v>
      </c>
      <c r="G492">
        <f>VLOOKUP(C492,[1]products!$B$2:$E$27,4,0)</f>
        <v>132.88</v>
      </c>
      <c r="H492">
        <f t="shared" si="7"/>
        <v>398.64</v>
      </c>
    </row>
    <row r="493" spans="1:8" x14ac:dyDescent="0.3">
      <c r="A493">
        <v>492</v>
      </c>
      <c r="B493">
        <v>32</v>
      </c>
      <c r="C493">
        <v>120</v>
      </c>
      <c r="D493" s="6">
        <v>42028</v>
      </c>
      <c r="E493" t="str">
        <f>VLOOKUP(B493,[1]pivottables!$F$2:$G$52,2,0)</f>
        <v>NLD</v>
      </c>
      <c r="F493">
        <v>5</v>
      </c>
      <c r="G493">
        <f>VLOOKUP(C493,[1]products!$B$2:$E$27,4,0)</f>
        <v>17.13</v>
      </c>
      <c r="H493">
        <f t="shared" si="7"/>
        <v>85.649999999999991</v>
      </c>
    </row>
    <row r="494" spans="1:8" x14ac:dyDescent="0.3">
      <c r="A494">
        <v>493</v>
      </c>
      <c r="B494">
        <v>8</v>
      </c>
      <c r="C494">
        <v>111</v>
      </c>
      <c r="D494" s="6">
        <v>42110</v>
      </c>
      <c r="E494" t="str">
        <f>VLOOKUP(B494,[1]pivottables!$F$2:$G$52,2,0)</f>
        <v>CZE</v>
      </c>
      <c r="F494">
        <v>4</v>
      </c>
      <c r="G494">
        <f>VLOOKUP(C494,[1]products!$B$2:$E$27,4,0)</f>
        <v>149.93</v>
      </c>
      <c r="H494">
        <f t="shared" si="7"/>
        <v>599.72</v>
      </c>
    </row>
    <row r="495" spans="1:8" x14ac:dyDescent="0.3">
      <c r="A495">
        <v>494</v>
      </c>
      <c r="B495">
        <v>32</v>
      </c>
      <c r="C495">
        <v>124</v>
      </c>
      <c r="D495" s="6">
        <v>42974</v>
      </c>
      <c r="E495" t="str">
        <f>VLOOKUP(B495,[1]pivottables!$F$2:$G$52,2,0)</f>
        <v>NLD</v>
      </c>
      <c r="F495">
        <v>5</v>
      </c>
      <c r="G495">
        <f>VLOOKUP(C495,[1]products!$B$2:$E$27,4,0)</f>
        <v>108.54</v>
      </c>
      <c r="H495">
        <f t="shared" si="7"/>
        <v>542.70000000000005</v>
      </c>
    </row>
    <row r="496" spans="1:8" x14ac:dyDescent="0.3">
      <c r="A496">
        <v>495</v>
      </c>
      <c r="B496">
        <v>41</v>
      </c>
      <c r="C496">
        <v>109</v>
      </c>
      <c r="D496" s="6">
        <v>42282</v>
      </c>
      <c r="E496" t="str">
        <f>VLOOKUP(B496,[1]pivottables!$F$2:$G$52,2,0)</f>
        <v>FRA</v>
      </c>
      <c r="F496">
        <v>2</v>
      </c>
      <c r="G496">
        <f>VLOOKUP(C496,[1]products!$B$2:$E$27,4,0)</f>
        <v>143.97999999999999</v>
      </c>
      <c r="H496">
        <f t="shared" si="7"/>
        <v>287.95999999999998</v>
      </c>
    </row>
    <row r="497" spans="1:8" x14ac:dyDescent="0.3">
      <c r="A497">
        <v>496</v>
      </c>
      <c r="B497">
        <v>48</v>
      </c>
      <c r="C497">
        <v>117</v>
      </c>
      <c r="D497" s="6">
        <v>42137</v>
      </c>
      <c r="E497" t="str">
        <f>VLOOKUP(B497,[1]pivottables!$F$2:$G$52,2,0)</f>
        <v>GBR</v>
      </c>
      <c r="F497">
        <v>4</v>
      </c>
      <c r="G497">
        <f>VLOOKUP(C497,[1]products!$B$2:$E$27,4,0)</f>
        <v>47.38</v>
      </c>
      <c r="H497">
        <f t="shared" si="7"/>
        <v>189.52</v>
      </c>
    </row>
    <row r="498" spans="1:8" x14ac:dyDescent="0.3">
      <c r="A498">
        <v>497</v>
      </c>
      <c r="B498">
        <v>35</v>
      </c>
      <c r="C498">
        <v>125</v>
      </c>
      <c r="D498" s="6">
        <v>42392</v>
      </c>
      <c r="E498" t="str">
        <f>VLOOKUP(B498,[1]pivottables!$F$2:$G$52,2,0)</f>
        <v>JPN</v>
      </c>
      <c r="F498">
        <v>4</v>
      </c>
      <c r="G498">
        <f>VLOOKUP(C498,[1]products!$B$2:$E$27,4,0)</f>
        <v>90.44</v>
      </c>
      <c r="H498">
        <f t="shared" si="7"/>
        <v>361.76</v>
      </c>
    </row>
    <row r="499" spans="1:8" x14ac:dyDescent="0.3">
      <c r="A499">
        <v>498</v>
      </c>
      <c r="B499">
        <v>8</v>
      </c>
      <c r="C499">
        <v>100</v>
      </c>
      <c r="D499" s="6">
        <v>42763</v>
      </c>
      <c r="E499" t="str">
        <f>VLOOKUP(B499,[1]pivottables!$F$2:$G$52,2,0)</f>
        <v>CZE</v>
      </c>
      <c r="F499">
        <v>2</v>
      </c>
      <c r="G499">
        <f>VLOOKUP(C499,[1]products!$B$2:$E$27,4,0)</f>
        <v>30.29</v>
      </c>
      <c r="H499">
        <f t="shared" si="7"/>
        <v>60.58</v>
      </c>
    </row>
    <row r="500" spans="1:8" x14ac:dyDescent="0.3">
      <c r="A500">
        <v>499</v>
      </c>
      <c r="B500">
        <v>29</v>
      </c>
      <c r="C500">
        <v>117</v>
      </c>
      <c r="D500" s="6">
        <v>42283</v>
      </c>
      <c r="E500" t="str">
        <f>VLOOKUP(B500,[1]pivottables!$F$2:$G$52,2,0)</f>
        <v>FRA</v>
      </c>
      <c r="F500">
        <v>2</v>
      </c>
      <c r="G500">
        <f>VLOOKUP(C500,[1]products!$B$2:$E$27,4,0)</f>
        <v>47.38</v>
      </c>
      <c r="H500">
        <f t="shared" si="7"/>
        <v>94.76</v>
      </c>
    </row>
    <row r="501" spans="1:8" x14ac:dyDescent="0.3">
      <c r="A501">
        <v>500</v>
      </c>
      <c r="B501">
        <v>3</v>
      </c>
      <c r="C501">
        <v>124</v>
      </c>
      <c r="D501" s="6">
        <v>42192</v>
      </c>
      <c r="E501" t="str">
        <f>VLOOKUP(B501,[1]pivottables!$F$2:$G$52,2,0)</f>
        <v>NLD</v>
      </c>
      <c r="F501">
        <v>1</v>
      </c>
      <c r="G501">
        <f>VLOOKUP(C501,[1]products!$B$2:$E$27,4,0)</f>
        <v>108.54</v>
      </c>
      <c r="H501">
        <f t="shared" si="7"/>
        <v>108.54</v>
      </c>
    </row>
    <row r="502" spans="1:8" x14ac:dyDescent="0.3">
      <c r="A502">
        <v>501</v>
      </c>
      <c r="B502">
        <v>51</v>
      </c>
      <c r="D502" s="6">
        <v>42599</v>
      </c>
      <c r="E502" t="str">
        <f>VLOOKUP(B502,[1]pivottables!$F$2:$G$52,2,0)</f>
        <v>HUN</v>
      </c>
    </row>
  </sheetData>
  <phoneticPr fontId="5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2"/>
  <sheetViews>
    <sheetView workbookViewId="0">
      <selection activeCell="A2" sqref="A2"/>
    </sheetView>
  </sheetViews>
  <sheetFormatPr defaultRowHeight="16.5" x14ac:dyDescent="0.3"/>
  <sheetData>
    <row r="1" spans="1:1" x14ac:dyDescent="0.3">
      <c r="A1" t="s">
        <v>66</v>
      </c>
    </row>
    <row r="2" spans="1:1" x14ac:dyDescent="0.3">
      <c r="A2" t="s">
        <v>67</v>
      </c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L13"/>
  <sheetViews>
    <sheetView workbookViewId="0">
      <selection activeCell="I14" sqref="I14"/>
    </sheetView>
  </sheetViews>
  <sheetFormatPr defaultRowHeight="16.5" x14ac:dyDescent="0.3"/>
  <sheetData>
    <row r="1" spans="1:12" x14ac:dyDescent="0.3">
      <c r="A1" t="s">
        <v>68</v>
      </c>
      <c r="B1" t="s">
        <v>69</v>
      </c>
    </row>
    <row r="2" spans="1:12" x14ac:dyDescent="0.3">
      <c r="A2">
        <v>11</v>
      </c>
      <c r="B2">
        <v>15</v>
      </c>
    </row>
    <row r="3" spans="1:12" x14ac:dyDescent="0.3">
      <c r="A3">
        <v>14</v>
      </c>
      <c r="B3">
        <v>20</v>
      </c>
    </row>
    <row r="4" spans="1:12" x14ac:dyDescent="0.3">
      <c r="A4">
        <v>1</v>
      </c>
      <c r="B4">
        <v>5</v>
      </c>
    </row>
    <row r="5" spans="1:12" x14ac:dyDescent="0.3">
      <c r="A5">
        <v>4</v>
      </c>
      <c r="B5">
        <v>10</v>
      </c>
    </row>
    <row r="6" spans="1:12" x14ac:dyDescent="0.3">
      <c r="A6">
        <v>4</v>
      </c>
      <c r="B6">
        <v>10</v>
      </c>
    </row>
    <row r="7" spans="1:12" x14ac:dyDescent="0.3">
      <c r="A7">
        <v>10</v>
      </c>
      <c r="B7">
        <v>10</v>
      </c>
      <c r="L7" t="s">
        <v>79</v>
      </c>
    </row>
    <row r="8" spans="1:12" x14ac:dyDescent="0.3">
      <c r="A8">
        <v>8</v>
      </c>
      <c r="B8">
        <v>10</v>
      </c>
    </row>
    <row r="9" spans="1:12" x14ac:dyDescent="0.3">
      <c r="B9">
        <v>10</v>
      </c>
    </row>
    <row r="10" spans="1:12" x14ac:dyDescent="0.3">
      <c r="E10" t="s">
        <v>76</v>
      </c>
    </row>
    <row r="11" spans="1:12" x14ac:dyDescent="0.3">
      <c r="E11" t="s">
        <v>77</v>
      </c>
    </row>
    <row r="12" spans="1:12" x14ac:dyDescent="0.3">
      <c r="E12" t="s">
        <v>77</v>
      </c>
    </row>
    <row r="13" spans="1:12" x14ac:dyDescent="0.3">
      <c r="E13" t="s">
        <v>78</v>
      </c>
    </row>
  </sheetData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"/>
  <sheetViews>
    <sheetView workbookViewId="0"/>
  </sheetViews>
  <sheetFormatPr defaultRowHeight="16.5" x14ac:dyDescent="0.3"/>
  <sheetData>
    <row r="1" spans="1:1" x14ac:dyDescent="0.3">
      <c r="A1" t="s">
        <v>71</v>
      </c>
    </row>
  </sheetData>
  <phoneticPr fontId="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/>
  </sheetViews>
  <sheetFormatPr defaultRowHeight="16.5" x14ac:dyDescent="0.3"/>
  <sheetData>
    <row r="1" spans="1:1" x14ac:dyDescent="0.3">
      <c r="A1" t="s">
        <v>72</v>
      </c>
    </row>
  </sheetData>
  <phoneticPr fontId="5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"/>
  <sheetViews>
    <sheetView workbookViewId="0"/>
  </sheetViews>
  <sheetFormatPr defaultRowHeight="16.5" x14ac:dyDescent="0.3"/>
  <sheetData>
    <row r="1" spans="1:1" x14ac:dyDescent="0.3">
      <c r="A1" t="s">
        <v>73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2"/>
  <sheetViews>
    <sheetView workbookViewId="0">
      <selection activeCell="M19" sqref="M19"/>
    </sheetView>
  </sheetViews>
  <sheetFormatPr defaultRowHeight="16.5" x14ac:dyDescent="0.3"/>
  <sheetData>
    <row r="1" spans="1:1" x14ac:dyDescent="0.3">
      <c r="A1" t="s">
        <v>74</v>
      </c>
    </row>
    <row r="2" spans="1:1" x14ac:dyDescent="0.3">
      <c r="A2" t="s">
        <v>75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11original</vt:lpstr>
      <vt:lpstr>12</vt:lpstr>
      <vt:lpstr>13</vt:lpstr>
      <vt:lpstr>14</vt:lpstr>
      <vt:lpstr>15</vt:lpstr>
      <vt:lpstr>16</vt:lpstr>
      <vt:lpstr>17</vt:lpstr>
      <vt:lpstr>NewnameFruitslocal</vt:lpstr>
      <vt:lpstr>tableH10J13</vt:lpstr>
      <vt:lpstr>tableH1J8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minhwasoo</cp:lastModifiedBy>
  <dcterms:created xsi:type="dcterms:W3CDTF">2018-02-03T03:03:57Z</dcterms:created>
  <dcterms:modified xsi:type="dcterms:W3CDTF">2020-01-05T12:11:45Z</dcterms:modified>
</cp:coreProperties>
</file>